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D:\Hermes_agent\web_server\document_templates\"/>
    </mc:Choice>
  </mc:AlternateContent>
  <xr:revisionPtr revIDLastSave="0" documentId="13_ncr:1_{C21BC45D-C817-41DB-8C6A-C4D12F3B3693}" xr6:coauthVersionLast="47" xr6:coauthVersionMax="47" xr10:uidLastSave="{00000000-0000-0000-0000-000000000000}"/>
  <bookViews>
    <workbookView xWindow="-110" yWindow="-110" windowWidth="19420" windowHeight="10300" tabRatio="702" activeTab="1" xr2:uid="{74F4F602-7585-4A50-B2A2-101DFEFD5D76}"/>
  </bookViews>
  <sheets>
    <sheet name="ใบสำคัญจ่ายเงินสดย่อย" sheetId="5" r:id="rId1"/>
    <sheet name="รายงาน" sheetId="2" r:id="rId2"/>
    <sheet name="คิดเงิน" sheetId="4" r:id="rId3"/>
    <sheet name="แบบ บก111" sheetId="3" r:id="rId4"/>
    <sheet name="แบบฟอร์ม1" sheetId="6" r:id="rId5"/>
  </sheets>
  <definedNames>
    <definedName name="Excel_BuiltIn_Print_Area_1">"$#REF.$A$1:$T$34"</definedName>
    <definedName name="_xlnm.Print_Area" localSheetId="2">คิดเงิน!$A$1:$F$30</definedName>
    <definedName name="_xlnm.Print_Area" localSheetId="3">'แบบ บก111'!$A$1:$L$20</definedName>
    <definedName name="_xlnm.Print_Area" localSheetId="4">แบบฟอร์ม1!$A$1:$M$23</definedName>
    <definedName name="_xlnm.Print_Area" localSheetId="0">ใบสำคัญจ่ายเงินสดย่อย!$A$1:$U$41</definedName>
    <definedName name="_xlnm.Print_Area" localSheetId="1">รายงาน!$A$1:$L$16</definedName>
    <definedName name="_xlnm.Print_Titles" localSheetId="3">'แบบ บก111'!$1:$4</definedName>
    <definedName name="_xlnm.Print_Titles" localSheetId="1">รายงาน!$12:$12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3" l="1"/>
  <c r="I5" i="3"/>
  <c r="I8" i="3"/>
  <c r="I7" i="3"/>
  <c r="I6" i="3"/>
  <c r="D6" i="4" l="1"/>
  <c r="T14" i="5"/>
  <c r="B11" i="3" l="1"/>
  <c r="I11" i="3"/>
  <c r="D5" i="4"/>
  <c r="D11" i="4"/>
  <c r="T12" i="5" s="1"/>
  <c r="B17" i="4" l="1"/>
  <c r="D17" i="4" s="1"/>
  <c r="T15" i="5" s="1"/>
  <c r="T11" i="5"/>
  <c r="I13" i="3" l="1"/>
  <c r="D21" i="4"/>
  <c r="A21" i="4" s="1"/>
  <c r="T17" i="5"/>
  <c r="F17" i="5" s="1"/>
  <c r="J9" i="6" l="1"/>
  <c r="L9" i="6" s="1"/>
</calcChain>
</file>

<file path=xl/sharedStrings.xml><?xml version="1.0" encoding="utf-8"?>
<sst xmlns="http://schemas.openxmlformats.org/spreadsheetml/2006/main" count="225" uniqueCount="187">
  <si>
    <t>ตำแหน่ง</t>
  </si>
  <si>
    <t>หัวหน้างาน</t>
  </si>
  <si>
    <t>วัน</t>
  </si>
  <si>
    <t>หนง.เทคโนโลยีควบคุมผลิต</t>
  </si>
  <si>
    <t>-</t>
  </si>
  <si>
    <t>นายเอนก  ระสิตานนท์</t>
  </si>
  <si>
    <t>รายงานการเดินทาง</t>
  </si>
  <si>
    <t>ที่ทำการ</t>
  </si>
  <si>
    <t>การประปาส่วนภูมิภาคเขต 1</t>
  </si>
  <si>
    <t>วันที่</t>
  </si>
  <si>
    <t>เดือน</t>
  </si>
  <si>
    <t>พ.ศ.</t>
  </si>
  <si>
    <t>ข้าพเจ้า</t>
  </si>
  <si>
    <t xml:space="preserve">ขอทำรายงานการเดินทางยื่นต่อผู้ว่าการ  การประปาส่วนภูมิภาค/ผอ.กปภ.ข.1/ผจก.กปภ.สาขา                      </t>
  </si>
  <si>
    <t xml:space="preserve"> ตามคำสั่งที่</t>
  </si>
  <si>
    <t>ข้าพเจ้าพร้อมด้วย</t>
  </si>
  <si>
    <t xml:space="preserve">จังหวัด     ชลบุรี </t>
  </si>
  <si>
    <t>เวลา</t>
  </si>
  <si>
    <t xml:space="preserve">นาฬิกา  </t>
  </si>
  <si>
    <t>และได้กลับถึงที่พักเมื่อ  วันที่</t>
  </si>
  <si>
    <t>รวมเวลาไปราชการครั้งนี้</t>
  </si>
  <si>
    <t>วัน   ตามรายละเอียดการเดินทาง ดังนี้ :-</t>
  </si>
  <si>
    <t>ออกจาก</t>
  </si>
  <si>
    <t>ถึง</t>
  </si>
  <si>
    <t>รายงานการเดินทางและการปฏิบัติงาน</t>
  </si>
  <si>
    <t>ใบรับรองแทนใบเสร็จรับเงิน</t>
  </si>
  <si>
    <t>การประปาส่วนภูมิภาค</t>
  </si>
  <si>
    <t>วัน/เดือน/ปี</t>
  </si>
  <si>
    <t>รายละเอียดค่าใช้จ่าย</t>
  </si>
  <si>
    <t>จำนวนเงิน(บาท)</t>
  </si>
  <si>
    <t>เหตุผลและความจำเป็น</t>
  </si>
  <si>
    <t xml:space="preserve"> ละ 4.50 บาท รวมเป็นเงิน</t>
  </si>
  <si>
    <t>รวมเงินทั้งสิ้น</t>
  </si>
  <si>
    <t>จำนวนเงินรวมทั้งสิ้น (ตัวอักษร)</t>
  </si>
  <si>
    <t xml:space="preserve">ข้าพเจ้า                              </t>
  </si>
  <si>
    <t xml:space="preserve"> ตำแหน่ง         </t>
  </si>
  <si>
    <t>สังกัด      กองระบบผลิตฯ      ขอรับรองว่า รายจ่ายข้างต้นนี้ ไม่อาจเรียกใบเสร็จรับเงินได้ และเป็นค่าใช้จ่ายไปจริงในงานของ</t>
  </si>
  <si>
    <t xml:space="preserve"> กปภ. โดยแท้  ทั้งนี้ตั้งแต่วันที่ </t>
  </si>
  <si>
    <t xml:space="preserve">  เดือน    </t>
  </si>
  <si>
    <t xml:space="preserve"> พ.ศ.  </t>
  </si>
  <si>
    <t xml:space="preserve"> ถึงวันที่     </t>
  </si>
  <si>
    <t xml:space="preserve"> พ.ศ. </t>
  </si>
  <si>
    <t>ลงชื่อผู้เบิก</t>
  </si>
  <si>
    <t>ใบสรุปค่าใช้จ่ายในการเดินทาง</t>
  </si>
  <si>
    <t>รายการ</t>
  </si>
  <si>
    <t>จำนวนเงิน</t>
  </si>
  <si>
    <t>หมายเหตุ</t>
  </si>
  <si>
    <t>1.ค่าเบี้ยเลี้ยงเดินทาง</t>
  </si>
  <si>
    <t>บาท</t>
  </si>
  <si>
    <t>ส.ต.</t>
  </si>
  <si>
    <t>2.ค่าเช่าที่พัก   สำหรับ</t>
  </si>
  <si>
    <t>คืน</t>
  </si>
  <si>
    <t xml:space="preserve">3.ค่ายานพาหนะ  </t>
  </si>
  <si>
    <t xml:space="preserve">5.ค่าใช้จ่ายเบ็ดเตล็ด      </t>
  </si>
  <si>
    <t xml:space="preserve">ข้างต้นเป็นความจริง   และเป็นจำนวนเงินที่ขอเบิกถูกต้องตามข้อบังคับ กปภ.ว่าด้วยค่าใช้จ่ายในการเดินทางฯ </t>
  </si>
  <si>
    <t>พ.ศ. 2522 และฉบับที่แก้ไข</t>
  </si>
  <si>
    <t>(ผู้เบิก)</t>
  </si>
  <si>
    <t>เลขที่ :</t>
  </si>
  <si>
    <t>ใบสำคัญจ่ายเงินสดย่อย/ใบเบิกค่าใช้จ่ายที่เกินวงเงินสดย่อย</t>
  </si>
  <si>
    <t>วันที่ :</t>
  </si>
  <si>
    <t>(กปภ.บง.42)</t>
  </si>
  <si>
    <t>รหัสพนักงาน :</t>
  </si>
  <si>
    <t>ชื่อ :</t>
  </si>
  <si>
    <t>ขอเบิกเงินสดย่อยเนื่องจาก :</t>
  </si>
  <si>
    <t>ซื้อพัสดุ</t>
  </si>
  <si>
    <t>เดินทางไปปฏิบัติงานต่างท้องที่</t>
  </si>
  <si>
    <t>เดินทางไปฝึกอบรม</t>
  </si>
  <si>
    <t>ส่วนที่ 1 : การระบุรายละเอียดค่าใช้จ่าย</t>
  </si>
  <si>
    <t>ผ่านรายการวันที่</t>
  </si>
  <si>
    <t>ลำดับ</t>
  </si>
  <si>
    <t>รหัสบัญชี</t>
  </si>
  <si>
    <t>รหัสศูนย์ต้นทุน</t>
  </si>
  <si>
    <t>รหัสงบประมาณ</t>
  </si>
  <si>
    <t>ค่าใช้จ่ายในการเดินทาง</t>
  </si>
  <si>
    <t>1Y.100687.6221002</t>
  </si>
  <si>
    <t>ค่าเบี้ยเลี้ยง</t>
  </si>
  <si>
    <t>ค่าที่พัก</t>
  </si>
  <si>
    <t>ค่าน้ำมันเชื้อเพลิง</t>
  </si>
  <si>
    <t>ค่าผ่านทาง</t>
  </si>
  <si>
    <t>ปะยาง</t>
  </si>
  <si>
    <t>(ตัวอักษร :</t>
  </si>
  <si>
    <t>)</t>
  </si>
  <si>
    <t>รวมเงิน</t>
  </si>
  <si>
    <t xml:space="preserve">ตำแหน่ง :              </t>
  </si>
  <si>
    <t>ส่วนที่ 2 : การตรวจสอบและอนุมัติ</t>
  </si>
  <si>
    <t>ตรวจสอบถูกต้องแล้ว เห็นควรอนุมัติให้เบิกจ่ายได้</t>
  </si>
  <si>
    <t>เห็นควรอนุมัติให้เบิกจ่ายได้</t>
  </si>
  <si>
    <t>ผู้ตรวจ</t>
  </si>
  <si>
    <t>อนุมัติให้เบิกจ่ายได้</t>
  </si>
  <si>
    <t>ส่วนที่ 3 : การบันทึกจ่ายงบประมาณ</t>
  </si>
  <si>
    <t>ส่วนที่ 4 : การรับเงิน</t>
  </si>
  <si>
    <t>ได้รับเงินครบถ้วนถูกต้องแล้ว</t>
  </si>
  <si>
    <t xml:space="preserve"> </t>
  </si>
  <si>
    <t>(                                                            )</t>
  </si>
  <si>
    <t>(                                                               )</t>
  </si>
  <si>
    <t xml:space="preserve">วันที่ :  </t>
  </si>
  <si>
    <t>ค่าเดินทางโดยรถยนต์ส่วนตัว จาก กปภ.ข.1 ถึง กปภ.ข.2</t>
  </si>
  <si>
    <t xml:space="preserve">ระยะทาง ไป – กลับ จำนวน 372 กิโลเมตร คิด กิโลเมตร- </t>
  </si>
  <si>
    <t>ค่ายานพาหนะ</t>
  </si>
  <si>
    <t>เลขที่รุ่นหลักสูตร :</t>
  </si>
  <si>
    <t>1.ค่ารถมอเตอร์ไซค์รับจ้างจาก กปภ.ข.1 ถึงสถานีรถโดยสาร</t>
  </si>
  <si>
    <t>ประจำทาง (ไป-กลับ)</t>
  </si>
  <si>
    <t>2.ค่ารถโดยสารประจำทางถึงสถานีขนส่งเอกมัย (ไป-กลับ)</t>
  </si>
  <si>
    <t>3.ค่ารถแท็กซี่จากเอกมัยไปอนุสาวรีย์ (ไป-กลับ)</t>
  </si>
  <si>
    <t>4.ค่ารถโดยสารประจำทางจากอนุสาวรีย์ถึงสถานีรถโดยสาร</t>
  </si>
  <si>
    <t>จ.สุพรรณบุรี (ไป-กลับ)</t>
  </si>
  <si>
    <t>5.ค่ารถรับจ้างจากสถานีฯถึงคงทองทิพย์รีสอร์ท (ไป-กลับ)</t>
  </si>
  <si>
    <t>17 มิ.ย. 57 เป็นจำนวนเงิน</t>
  </si>
  <si>
    <t>หมายเหตุ ขอเบิกค่าใช้จ่ายตามสิทธิที่ได้รับอนุมัติ ลว.</t>
  </si>
  <si>
    <t>3.ค่าผ่านทาง</t>
  </si>
  <si>
    <t>ค่าเดินทางโดยรถยนต์ส่วนตัวทะเบียน กธ 8911 นครสวรรค์ จาก สผ.บางพระ 3 ถึง สผ.บางพระ 1 ระยะทางไปจำนวน 5 กิโลเมตร คิด กิโลเมตรละ 4.50 บาท รวมเป็นเงิน</t>
  </si>
  <si>
    <t>ค่าเดินทางโดยรถยนต์ส่วนตัวทะเบียน กธ 8911 นครสวรรค์ จาก สผ.บางพระ 1 ถึง กปภ.ข.1 ระยะทางไปจำนวน 20 กิโลเมตร คิด กิโลเมตรละ 4.50 บาท รวมเป็นเงิน</t>
  </si>
  <si>
    <t>ค่าเดินทางโดยรถยนต์ส่วนตัวทะเบียน กธ 8911 นครสวรรค์ จาก สผ.ห้วยตู้ ถึง สผ.บางพระ3 ระยะทางไปจำนวน 66 กิโลเมตร คิด กิโลเมตรละ 4.50 บาท รวมเป็นเงิน</t>
  </si>
  <si>
    <t xml:space="preserve">                ลงชื่อ  …...........…..............................….........................</t>
  </si>
  <si>
    <t>(                                                 )</t>
  </si>
  <si>
    <t>เนื่องจากรถยนต์ กปภ. ไม่เพียงพอ</t>
  </si>
  <si>
    <t xml:space="preserve">ออกจากการประปาส่วนภูมิภาคเขต          160        ม.  2          ตำบล          บ้านสวน                        อำเภอ        เมืองชลบุรี                       </t>
  </si>
  <si>
    <t>ใบแจ้งค่าใช้จ่ายค้างจ่าย</t>
  </si>
  <si>
    <t xml:space="preserve">ชื่อผู้แจ้ง   </t>
  </si>
  <si>
    <t xml:space="preserve">          เขตธุรกิจ        </t>
  </si>
  <si>
    <t xml:space="preserve">วันที่  </t>
  </si>
  <si>
    <t xml:space="preserve">เลขที่ (ปี-รหัสศูนย์ต้นทุน/Running No.)     </t>
  </si>
  <si>
    <t>กอง/กปภ.สาขา</t>
  </si>
  <si>
    <t>กองระบบผลิตและควบคุมคุณภาพน้ำ</t>
  </si>
  <si>
    <t xml:space="preserve">โทรศัพท์        </t>
  </si>
  <si>
    <t xml:space="preserve">เดือน             </t>
  </si>
  <si>
    <t>ลำดับที่</t>
  </si>
  <si>
    <t>คำอธิบายรายการ</t>
  </si>
  <si>
    <t>ชื่อเจ้าหนี้</t>
  </si>
  <si>
    <t>รหัสศูนย์</t>
  </si>
  <si>
    <t>องค์ประกอบ WBS</t>
  </si>
  <si>
    <t>มูลค่า</t>
  </si>
  <si>
    <t>ภาษี</t>
  </si>
  <si>
    <t>ที่มาของ</t>
  </si>
  <si>
    <t>ต้นทุน</t>
  </si>
  <si>
    <t>(รหัสงบประมาณ)</t>
  </si>
  <si>
    <t>สินค้า/บริการ</t>
  </si>
  <si>
    <t>มูลค่าเพิ่ม</t>
  </si>
  <si>
    <t>รวม</t>
  </si>
  <si>
    <t>ข้อมูล</t>
  </si>
  <si>
    <t>หมายเหตุ : ที่มาของข้อมูล มาจากใบแจ้งหนี้/สัญญา/ประมาณการ</t>
  </si>
  <si>
    <t>084-1981607</t>
  </si>
  <si>
    <r>
      <t>ภาษีมูลค่าเพิ่ม</t>
    </r>
    <r>
      <rPr>
        <u/>
        <sz val="16"/>
        <rFont val="TH Sarabun New"/>
        <family val="2"/>
      </rPr>
      <t xml:space="preserve">                    </t>
    </r>
    <r>
      <rPr>
        <sz val="16"/>
        <rFont val="TH Sarabun New"/>
        <family val="2"/>
      </rPr>
      <t>บาท</t>
    </r>
  </si>
  <si>
    <r>
      <t>กิจกรรม :</t>
    </r>
    <r>
      <rPr>
        <u/>
        <sz val="14"/>
        <rFont val="TH Sarabun New"/>
        <family val="2"/>
      </rPr>
      <t xml:space="preserve"> </t>
    </r>
  </si>
  <si>
    <r>
      <t xml:space="preserve">หน่วยงาน :    </t>
    </r>
    <r>
      <rPr>
        <b/>
        <sz val="14"/>
        <rFont val="TH Sarabun New"/>
        <family val="2"/>
      </rPr>
      <t xml:space="preserve"> กองระบบผลิตและควบคุมคุณภาพน้ำ</t>
    </r>
    <r>
      <rPr>
        <sz val="14"/>
        <rFont val="TH Sarabun New"/>
        <family val="2"/>
      </rPr>
      <t xml:space="preserve">                                                                                                                        .</t>
    </r>
  </si>
  <si>
    <r>
      <t>เลขที่การเดินทาง :</t>
    </r>
    <r>
      <rPr>
        <u/>
        <sz val="14"/>
        <rFont val="TH Sarabun New"/>
        <family val="2"/>
      </rPr>
      <t xml:space="preserve">                             </t>
    </r>
    <r>
      <rPr>
        <sz val="14"/>
        <rFont val="TH Sarabun New"/>
        <family val="2"/>
      </rPr>
      <t>.</t>
    </r>
  </si>
  <si>
    <r>
      <t>อื่นๆ(โปรดระบุ) :</t>
    </r>
    <r>
      <rPr>
        <u/>
        <sz val="14"/>
        <rFont val="TH Sarabun New"/>
        <family val="2"/>
      </rPr>
      <t xml:space="preserve">                                          </t>
    </r>
    <r>
      <rPr>
        <sz val="14"/>
        <rFont val="TH Sarabun New"/>
        <family val="2"/>
      </rPr>
      <t xml:space="preserve"> .</t>
    </r>
  </si>
  <si>
    <r>
      <t>ชื่อหลักสูตร :</t>
    </r>
    <r>
      <rPr>
        <u/>
        <sz val="14"/>
        <rFont val="TH Sarabun New"/>
        <family val="2"/>
      </rPr>
      <t xml:space="preserve">   </t>
    </r>
  </si>
  <si>
    <r>
      <t>ลงชื่อผู้ขอเบิก :</t>
    </r>
    <r>
      <rPr>
        <u/>
        <sz val="14"/>
        <rFont val="TH Sarabun New"/>
        <family val="2"/>
      </rPr>
      <t xml:space="preserve">                                                                                                               </t>
    </r>
    <r>
      <rPr>
        <sz val="14"/>
        <rFont val="TH Sarabun New"/>
        <family val="2"/>
      </rPr>
      <t>.</t>
    </r>
  </si>
  <si>
    <r>
      <t>ลงชื่อผู้บังคับบัญชา :</t>
    </r>
    <r>
      <rPr>
        <u/>
        <sz val="14"/>
        <rFont val="TH Sarabun New"/>
        <family val="2"/>
      </rPr>
      <t xml:space="preserve">                                                           </t>
    </r>
    <r>
      <rPr>
        <sz val="14"/>
        <rFont val="TH Sarabun New"/>
        <family val="2"/>
      </rPr>
      <t>.</t>
    </r>
  </si>
  <si>
    <r>
      <t xml:space="preserve">ตำแหน่ง : </t>
    </r>
    <r>
      <rPr>
        <u/>
        <sz val="14"/>
        <rFont val="TH Sarabun New"/>
        <family val="2"/>
      </rPr>
      <t xml:space="preserve">                                               </t>
    </r>
    <r>
      <rPr>
        <sz val="14"/>
        <rFont val="TH Sarabun New"/>
        <family val="2"/>
      </rPr>
      <t xml:space="preserve"> .          </t>
    </r>
  </si>
  <si>
    <r>
      <t>วันที่ :</t>
    </r>
    <r>
      <rPr>
        <u/>
        <sz val="14"/>
        <rFont val="TH Sarabun New"/>
        <family val="2"/>
      </rPr>
      <t xml:space="preserve">              </t>
    </r>
    <r>
      <rPr>
        <sz val="14"/>
        <rFont val="TH Sarabun New"/>
        <family val="2"/>
      </rPr>
      <t xml:space="preserve"> .</t>
    </r>
  </si>
  <si>
    <r>
      <t>ลงชื่อ :</t>
    </r>
    <r>
      <rPr>
        <u/>
        <sz val="14"/>
        <rFont val="TH Sarabun New"/>
        <family val="2"/>
      </rPr>
      <t xml:space="preserve">                                                                                       </t>
    </r>
    <r>
      <rPr>
        <sz val="14"/>
        <rFont val="TH Sarabun New"/>
        <family val="2"/>
      </rPr>
      <t>.</t>
    </r>
  </si>
  <si>
    <r>
      <t>ลงชื่อ :</t>
    </r>
    <r>
      <rPr>
        <u/>
        <sz val="14"/>
        <rFont val="TH Sarabun New"/>
        <family val="2"/>
      </rPr>
      <t xml:space="preserve">                                                                     </t>
    </r>
    <r>
      <rPr>
        <sz val="14"/>
        <rFont val="TH Sarabun New"/>
        <family val="2"/>
      </rPr>
      <t>.</t>
    </r>
  </si>
  <si>
    <r>
      <t xml:space="preserve">( </t>
    </r>
    <r>
      <rPr>
        <u/>
        <sz val="14"/>
        <rFont val="TH Sarabun New"/>
        <family val="2"/>
      </rPr>
      <t xml:space="preserve">                                                                 </t>
    </r>
    <r>
      <rPr>
        <sz val="14"/>
        <rFont val="TH Sarabun New"/>
        <family val="2"/>
      </rPr>
      <t xml:space="preserve"> )</t>
    </r>
  </si>
  <si>
    <r>
      <t>(</t>
    </r>
    <r>
      <rPr>
        <u/>
        <sz val="14"/>
        <rFont val="TH Sarabun New"/>
        <family val="2"/>
      </rPr>
      <t xml:space="preserve">                                                                   </t>
    </r>
    <r>
      <rPr>
        <sz val="14"/>
        <rFont val="TH Sarabun New"/>
        <family val="2"/>
      </rPr>
      <t xml:space="preserve"> )</t>
    </r>
  </si>
  <si>
    <r>
      <t xml:space="preserve">ตำแหน่ง : </t>
    </r>
    <r>
      <rPr>
        <u/>
        <sz val="14"/>
        <rFont val="TH Sarabun New"/>
        <family val="2"/>
      </rPr>
      <t xml:space="preserve">                                                                            </t>
    </r>
    <r>
      <rPr>
        <sz val="14"/>
        <rFont val="TH Sarabun New"/>
        <family val="2"/>
      </rPr>
      <t xml:space="preserve"> .</t>
    </r>
  </si>
  <si>
    <r>
      <t>วันที่ :</t>
    </r>
    <r>
      <rPr>
        <u/>
        <sz val="14"/>
        <rFont val="TH Sarabun New"/>
        <family val="2"/>
      </rPr>
      <t xml:space="preserve">                       </t>
    </r>
    <r>
      <rPr>
        <sz val="14"/>
        <rFont val="TH Sarabun New"/>
        <family val="2"/>
      </rPr>
      <t xml:space="preserve"> .</t>
    </r>
  </si>
  <si>
    <r>
      <t>ตำแหน่ง :</t>
    </r>
    <r>
      <rPr>
        <u/>
        <sz val="14"/>
        <rFont val="TH Sarabun New"/>
        <family val="2"/>
      </rPr>
      <t xml:space="preserve">                                                </t>
    </r>
    <r>
      <rPr>
        <sz val="14"/>
        <rFont val="TH Sarabun New"/>
        <family val="2"/>
      </rPr>
      <t>.</t>
    </r>
  </si>
  <si>
    <r>
      <t>วันที่ :</t>
    </r>
    <r>
      <rPr>
        <u/>
        <sz val="14"/>
        <rFont val="TH Sarabun New"/>
        <family val="2"/>
      </rPr>
      <t xml:space="preserve">                  </t>
    </r>
    <r>
      <rPr>
        <sz val="14"/>
        <rFont val="TH Sarabun New"/>
        <family val="2"/>
      </rPr>
      <t>.</t>
    </r>
  </si>
  <si>
    <r>
      <t>ลงชื่อ :</t>
    </r>
    <r>
      <rPr>
        <u/>
        <sz val="14"/>
        <rFont val="TH Sarabun New"/>
        <family val="2"/>
      </rPr>
      <t xml:space="preserve">                                                                                  </t>
    </r>
    <r>
      <rPr>
        <sz val="14"/>
        <rFont val="TH Sarabun New"/>
        <family val="2"/>
      </rPr>
      <t xml:space="preserve"> .</t>
    </r>
  </si>
  <si>
    <r>
      <t xml:space="preserve">( </t>
    </r>
    <r>
      <rPr>
        <u/>
        <sz val="14"/>
        <rFont val="TH Sarabun New"/>
        <family val="2"/>
      </rPr>
      <t xml:space="preserve">                                                                                         </t>
    </r>
    <r>
      <rPr>
        <sz val="14"/>
        <rFont val="TH Sarabun New"/>
        <family val="2"/>
      </rPr>
      <t xml:space="preserve"> )</t>
    </r>
  </si>
  <si>
    <r>
      <t>ลงชื่อ :</t>
    </r>
    <r>
      <rPr>
        <u/>
        <sz val="14"/>
        <rFont val="TH Sarabun New"/>
        <family val="2"/>
      </rPr>
      <t xml:space="preserve">                                                                    </t>
    </r>
    <r>
      <rPr>
        <sz val="14"/>
        <rFont val="TH Sarabun New"/>
        <family val="2"/>
      </rPr>
      <t>.</t>
    </r>
  </si>
  <si>
    <r>
      <t>ตำแหน่ง :</t>
    </r>
    <r>
      <rPr>
        <u/>
        <sz val="14"/>
        <rFont val="TH Sarabun New"/>
        <family val="2"/>
      </rPr>
      <t xml:space="preserve">                                                                             </t>
    </r>
    <r>
      <rPr>
        <sz val="14"/>
        <rFont val="TH Sarabun New"/>
        <family val="2"/>
      </rPr>
      <t xml:space="preserve"> .</t>
    </r>
  </si>
  <si>
    <r>
      <t>วันที่ :</t>
    </r>
    <r>
      <rPr>
        <u/>
        <sz val="14"/>
        <rFont val="TH Sarabun New"/>
        <family val="2"/>
      </rPr>
      <t xml:space="preserve">                 </t>
    </r>
    <r>
      <rPr>
        <sz val="14"/>
        <rFont val="TH Sarabun New"/>
        <family val="2"/>
      </rPr>
      <t xml:space="preserve"> .</t>
    </r>
  </si>
  <si>
    <r>
      <t>ตำแหน่ง :</t>
    </r>
    <r>
      <rPr>
        <u/>
        <sz val="14"/>
        <rFont val="TH Sarabun New"/>
        <family val="2"/>
      </rPr>
      <t xml:space="preserve">                                             </t>
    </r>
    <r>
      <rPr>
        <sz val="14"/>
        <rFont val="TH Sarabun New"/>
        <family val="2"/>
      </rPr>
      <t xml:space="preserve"> .</t>
    </r>
  </si>
  <si>
    <r>
      <t>วันที่ :</t>
    </r>
    <r>
      <rPr>
        <u/>
        <sz val="14"/>
        <rFont val="TH Sarabun New"/>
        <family val="2"/>
      </rPr>
      <t xml:space="preserve">           </t>
    </r>
    <r>
      <rPr>
        <sz val="14"/>
        <rFont val="TH Sarabun New"/>
        <family val="2"/>
      </rPr>
      <t xml:space="preserve"> .</t>
    </r>
  </si>
  <si>
    <r>
      <t>ลงชื่อผู้บันทึกจ่ายงบประมาณ :</t>
    </r>
    <r>
      <rPr>
        <u/>
        <sz val="14"/>
        <rFont val="TH Sarabun New"/>
        <family val="2"/>
      </rPr>
      <t xml:space="preserve">                                                            </t>
    </r>
    <r>
      <rPr>
        <sz val="14"/>
        <rFont val="TH Sarabun New"/>
        <family val="2"/>
      </rPr>
      <t>ตำแหน่ง :</t>
    </r>
    <r>
      <rPr>
        <u/>
        <sz val="14"/>
        <rFont val="TH Sarabun New"/>
        <family val="2"/>
      </rPr>
      <t xml:space="preserve">                                         </t>
    </r>
    <r>
      <rPr>
        <sz val="14"/>
        <rFont val="TH Sarabun New"/>
        <family val="2"/>
      </rPr>
      <t>วันที่ :</t>
    </r>
    <r>
      <rPr>
        <u/>
        <sz val="14"/>
        <rFont val="TH Sarabun New"/>
        <family val="2"/>
      </rPr>
      <t xml:space="preserve">                    .</t>
    </r>
  </si>
  <si>
    <r>
      <t>ลงชื่อผู้รับเงิน :</t>
    </r>
    <r>
      <rPr>
        <u/>
        <sz val="14"/>
        <rFont val="TH Sarabun New"/>
        <family val="2"/>
      </rPr>
      <t xml:space="preserve">                                                                                        </t>
    </r>
    <r>
      <rPr>
        <sz val="14"/>
        <rFont val="TH Sarabun New"/>
        <family val="2"/>
      </rPr>
      <t>.</t>
    </r>
  </si>
  <si>
    <r>
      <t>ลงชื่อผู้จ่ายเงิน :</t>
    </r>
    <r>
      <rPr>
        <u/>
        <sz val="14"/>
        <rFont val="TH Sarabun New"/>
        <family val="2"/>
      </rPr>
      <t xml:space="preserve">                                                           </t>
    </r>
    <r>
      <rPr>
        <sz val="14"/>
        <rFont val="TH Sarabun New"/>
        <family val="2"/>
      </rPr>
      <t>.</t>
    </r>
  </si>
  <si>
    <r>
      <t>วันที่ :</t>
    </r>
    <r>
      <rPr>
        <u/>
        <sz val="14"/>
        <rFont val="TH Sarabun New"/>
        <family val="2"/>
      </rPr>
      <t xml:space="preserve">                      </t>
    </r>
    <r>
      <rPr>
        <sz val="14"/>
        <rFont val="TH Sarabun New"/>
        <family val="2"/>
      </rPr>
      <t>.</t>
    </r>
  </si>
  <si>
    <r>
      <t>ตำแหน่ง :</t>
    </r>
    <r>
      <rPr>
        <u/>
        <sz val="14"/>
        <rFont val="TH Sarabun New"/>
        <family val="2"/>
      </rPr>
      <t xml:space="preserve">                                               </t>
    </r>
    <r>
      <rPr>
        <sz val="14"/>
        <rFont val="TH Sarabun New"/>
        <family val="2"/>
      </rPr>
      <t xml:space="preserve">.            </t>
    </r>
  </si>
  <si>
    <r>
      <t>วันที่ :</t>
    </r>
    <r>
      <rPr>
        <u/>
        <sz val="14"/>
        <rFont val="TH Sarabun New"/>
        <family val="2"/>
      </rPr>
      <t xml:space="preserve">              </t>
    </r>
    <r>
      <rPr>
        <sz val="14"/>
        <rFont val="TH Sarabun New"/>
        <family val="2"/>
      </rPr>
      <t>.</t>
    </r>
  </si>
  <si>
    <t>1Y.100687.6212002</t>
  </si>
  <si>
    <t>1Y.100687.6221005</t>
  </si>
  <si>
    <t>ปี     2569</t>
  </si>
  <si>
    <t>มีนาคม</t>
  </si>
  <si>
    <t>(นายเอนก  ระสิตานนท์)</t>
  </si>
  <si>
    <t>ค่าเดินทางโดยรถยนต์ส่วนตัวทะเบียน กธ 8911 นครสวรรค์ จาก กปภ.ข.1  ถึง ท่าเรือแหลมศอกอ.เมือง จ.ตราด ระยะทางไปจำนวน 214 กิโลเมตร คิด กิโลเมตรละ 5.00 บาท รวมเป็นเงิน</t>
  </si>
  <si>
    <t>ค่าเดินทางโดยรถยนต์ส่วนตัวทะเบียน กธ 8911 นครสวรรค์ จาก ท่าเรือแหลมศอกอ.เมือง จ.ตราด ถึง ท่าเรืออ่าวสลัดอ.เกาะกูด จ.ตราด ระยะทางไปจำนวน 6 กิโลเมตร คิด กิโลเมตรละ 5.00 บาท รวมเป็นเงิน</t>
  </si>
  <si>
    <t>ค่าเดินทางโดยรถยนต์ส่วนตัวทะเบียน กธ 8911 นครสวรรค์ จาก ท่าเรืออ่าวสลัดอ.เกาะกูด จ.ตราด ถึง บ้านคลองเจ้าโฮมสเตย์อ.เกาะกูด จ.ตราด ระยะทางไปจำนวน 220 กิโลเมตร คิด กิโลเมตรละ 5.00 บาท รวมเป็นเงิน</t>
  </si>
  <si>
    <t/>
  </si>
  <si>
    <t>ค่าใช้จ่ายในการเดินทาง นายเอนก  ระสิตานนท์</t>
  </si>
  <si>
    <t>ค่ารักษาพยาบาล นายเอนก  ระสิตานนท์</t>
  </si>
  <si>
    <t>ค่าเล่าเรียนบุตร นายเอนก  ระสิตานนท์</t>
  </si>
  <si>
    <t>4.ค่าน้ำมันรถ(           )ฉบับ</t>
  </si>
  <si>
    <t xml:space="preserve">                       ได้ส่งหลักฐานการจ่ายมาด้วย........... ฉบับ     และ   ขอรับรองว่ารายงานการเดินทางดังกล่าว"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</si>
</sst>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87" formatCode="dddd&quot;, &quot;mmmm\ dd&quot;, &quot;yyyy"/>
    <numFmt numFmtId="188" formatCode="d"/>
    <numFmt numFmtId="189" formatCode="mmmm"/>
    <numFmt numFmtId="190" formatCode="yyyy"/>
    <numFmt numFmtId="191" formatCode="&quot; ฿&quot;#,##0.00\ ;&quot; ฿(&quot;#,##0.00\);&quot; ฿-&quot;#\ ;@\ "/>
    <numFmt numFmtId="192" formatCode="[$-107041E]d\ mmm\ yy;@"/>
    <numFmt numFmtId="193" formatCode="d\ ดดด\ yy;@"/>
    <numFmt numFmtId="194" formatCode="ดดด"/>
    <numFmt numFmtId="195" formatCode="ดดดด"/>
    <numFmt numFmtId="196" formatCode="[$-1070000]yyyy;@"/>
    <numFmt numFmtId="197" formatCode="[$-F800]dddd\,\ mmmm\ dd\,\ yyyy"/>
    <numFmt numFmtId="198" formatCode="[$-1070000]mmmm;@"/>
  </numFmts>
  <fonts count="22" x14ac:knownFonts="1">
    <font>
      <sz val="14"/>
      <name val="AngsanaUPC"/>
      <charset val="222"/>
    </font>
    <font>
      <sz val="10"/>
      <name val="Arial"/>
      <family val="2"/>
    </font>
    <font>
      <sz val="16"/>
      <name val="Angsana New"/>
      <family val="1"/>
      <charset val="222"/>
    </font>
    <font>
      <sz val="14"/>
      <name val="AngsanaUPC"/>
      <family val="1"/>
    </font>
    <font>
      <sz val="10"/>
      <name val="Arial"/>
      <family val="2"/>
    </font>
    <font>
      <sz val="16"/>
      <name val="TH Sarabun PSK"/>
      <family val="2"/>
    </font>
    <font>
      <b/>
      <sz val="16"/>
      <color indexed="12"/>
      <name val="TH Sarabun PSK"/>
      <family val="2"/>
    </font>
    <font>
      <b/>
      <sz val="16"/>
      <color indexed="10"/>
      <name val="TH Sarabun PSK"/>
      <family val="2"/>
    </font>
    <font>
      <b/>
      <sz val="16"/>
      <name val="TH Sarabun PSK"/>
      <family val="2"/>
    </font>
    <font>
      <b/>
      <sz val="18"/>
      <name val="TH Sarabun New"/>
      <family val="2"/>
    </font>
    <font>
      <sz val="14"/>
      <name val="TH Sarabun New"/>
      <family val="2"/>
    </font>
    <font>
      <sz val="16"/>
      <name val="TH Sarabun New"/>
      <family val="2"/>
    </font>
    <font>
      <b/>
      <sz val="16"/>
      <name val="TH Sarabun New"/>
      <family val="2"/>
    </font>
    <font>
      <b/>
      <sz val="14"/>
      <name val="TH Sarabun New"/>
      <family val="2"/>
    </font>
    <font>
      <u/>
      <sz val="16"/>
      <name val="TH Sarabun New"/>
      <family val="2"/>
    </font>
    <font>
      <sz val="10"/>
      <name val="TH Sarabun New"/>
      <family val="2"/>
    </font>
    <font>
      <i/>
      <u/>
      <sz val="16"/>
      <name val="TH Sarabun New"/>
      <family val="2"/>
    </font>
    <font>
      <u/>
      <sz val="14"/>
      <color indexed="9"/>
      <name val="TH Sarabun New"/>
      <family val="2"/>
    </font>
    <font>
      <u/>
      <sz val="14"/>
      <name val="TH Sarabun New"/>
      <family val="2"/>
    </font>
    <font>
      <sz val="13"/>
      <name val="TH Sarabun New"/>
      <family val="2"/>
    </font>
    <font>
      <sz val="16"/>
      <color theme="0"/>
      <name val="TH Sarabun PSK"/>
      <family val="2"/>
    </font>
    <font>
      <b/>
      <sz val="16"/>
      <color theme="0"/>
      <name val="TH Sarabun PS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9"/>
        <bgColor indexed="64"/>
      </patternFill>
    </fill>
  </fills>
  <borders count="7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/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 style="medium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 style="hair">
        <color indexed="8"/>
      </top>
      <bottom style="thin">
        <color indexed="8"/>
      </bottom>
      <diagonal/>
    </border>
    <border>
      <left/>
      <right/>
      <top style="hair">
        <color indexed="8"/>
      </top>
      <bottom style="thin">
        <color indexed="8"/>
      </bottom>
      <diagonal/>
    </border>
    <border>
      <left/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hair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hair">
        <color indexed="8"/>
      </bottom>
      <diagonal/>
    </border>
    <border>
      <left style="medium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medium">
        <color indexed="8"/>
      </right>
      <top/>
      <bottom style="hair">
        <color indexed="8"/>
      </bottom>
      <diagonal/>
    </border>
    <border>
      <left style="medium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medium">
        <color indexed="8"/>
      </right>
      <top style="hair">
        <color indexed="8"/>
      </top>
      <bottom style="hair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thin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/>
      <top style="medium">
        <color indexed="8"/>
      </top>
      <bottom/>
      <diagonal/>
    </border>
  </borders>
  <cellStyleXfs count="6">
    <xf numFmtId="0" fontId="0" fillId="0" borderId="0"/>
    <xf numFmtId="43" fontId="1" fillId="0" borderId="0" applyFill="0" applyBorder="0" applyAlignment="0" applyProtection="0"/>
    <xf numFmtId="43" fontId="4" fillId="0" borderId="0" applyFont="0" applyFill="0" applyBorder="0" applyAlignment="0" applyProtection="0"/>
    <xf numFmtId="191" fontId="3" fillId="0" borderId="0" applyFill="0" applyBorder="0" applyAlignment="0" applyProtection="0"/>
    <xf numFmtId="0" fontId="4" fillId="0" borderId="0"/>
    <xf numFmtId="0" fontId="2" fillId="0" borderId="0"/>
  </cellStyleXfs>
  <cellXfs count="229">
    <xf numFmtId="0" fontId="0" fillId="0" borderId="0" xfId="0"/>
    <xf numFmtId="0" fontId="5" fillId="3" borderId="0" xfId="4" applyFont="1" applyFill="1"/>
    <xf numFmtId="0" fontId="5" fillId="3" borderId="62" xfId="4" applyFont="1" applyFill="1" applyBorder="1"/>
    <xf numFmtId="0" fontId="5" fillId="3" borderId="63" xfId="4" applyFont="1" applyFill="1" applyBorder="1"/>
    <xf numFmtId="0" fontId="5" fillId="3" borderId="64" xfId="4" applyFont="1" applyFill="1" applyBorder="1"/>
    <xf numFmtId="0" fontId="5" fillId="3" borderId="65" xfId="4" applyFont="1" applyFill="1" applyBorder="1"/>
    <xf numFmtId="0" fontId="5" fillId="3" borderId="66" xfId="4" applyFont="1" applyFill="1" applyBorder="1"/>
    <xf numFmtId="0" fontId="5" fillId="3" borderId="67" xfId="4" applyFont="1" applyFill="1" applyBorder="1"/>
    <xf numFmtId="0" fontId="5" fillId="3" borderId="55" xfId="4" applyFont="1" applyFill="1" applyBorder="1" applyAlignment="1">
      <alignment horizontal="center" vertical="center"/>
    </xf>
    <xf numFmtId="0" fontId="5" fillId="3" borderId="55" xfId="4" applyFont="1" applyFill="1" applyBorder="1" applyAlignment="1">
      <alignment horizontal="center"/>
    </xf>
    <xf numFmtId="0" fontId="5" fillId="3" borderId="56" xfId="4" applyFont="1" applyFill="1" applyBorder="1" applyAlignment="1">
      <alignment horizontal="center" vertical="center"/>
    </xf>
    <xf numFmtId="0" fontId="5" fillId="3" borderId="56" xfId="4" applyFont="1" applyFill="1" applyBorder="1" applyAlignment="1">
      <alignment horizontal="center"/>
    </xf>
    <xf numFmtId="0" fontId="5" fillId="3" borderId="54" xfId="4" applyFont="1" applyFill="1" applyBorder="1" applyAlignment="1">
      <alignment horizontal="center"/>
    </xf>
    <xf numFmtId="0" fontId="5" fillId="3" borderId="54" xfId="4" applyFont="1" applyFill="1" applyBorder="1" applyAlignment="1">
      <alignment horizontal="left"/>
    </xf>
    <xf numFmtId="0" fontId="6" fillId="3" borderId="54" xfId="4" applyFont="1" applyFill="1" applyBorder="1" applyAlignment="1">
      <alignment horizontal="center"/>
    </xf>
    <xf numFmtId="43" fontId="5" fillId="3" borderId="54" xfId="2" applyFont="1" applyFill="1" applyBorder="1"/>
    <xf numFmtId="43" fontId="5" fillId="3" borderId="54" xfId="4" applyNumberFormat="1" applyFont="1" applyFill="1" applyBorder="1" applyAlignment="1">
      <alignment horizontal="center"/>
    </xf>
    <xf numFmtId="0" fontId="5" fillId="3" borderId="54" xfId="4" applyFont="1" applyFill="1" applyBorder="1"/>
    <xf numFmtId="43" fontId="5" fillId="3" borderId="54" xfId="2" applyFont="1" applyFill="1" applyBorder="1" applyAlignment="1">
      <alignment horizontal="center"/>
    </xf>
    <xf numFmtId="0" fontId="5" fillId="3" borderId="18" xfId="4" applyFont="1" applyFill="1" applyBorder="1"/>
    <xf numFmtId="0" fontId="5" fillId="3" borderId="19" xfId="4" applyFont="1" applyFill="1" applyBorder="1"/>
    <xf numFmtId="0" fontId="6" fillId="3" borderId="19" xfId="4" applyFont="1" applyFill="1" applyBorder="1" applyAlignment="1">
      <alignment horizontal="center"/>
    </xf>
    <xf numFmtId="0" fontId="5" fillId="3" borderId="19" xfId="4" applyFont="1" applyFill="1" applyBorder="1" applyAlignment="1">
      <alignment horizontal="center"/>
    </xf>
    <xf numFmtId="43" fontId="5" fillId="3" borderId="19" xfId="2" applyFont="1" applyFill="1" applyBorder="1"/>
    <xf numFmtId="43" fontId="5" fillId="3" borderId="19" xfId="2" applyFont="1" applyFill="1" applyBorder="1" applyAlignment="1">
      <alignment horizontal="center"/>
    </xf>
    <xf numFmtId="0" fontId="5" fillId="3" borderId="20" xfId="4" applyFont="1" applyFill="1" applyBorder="1"/>
    <xf numFmtId="0" fontId="10" fillId="0" borderId="0" xfId="0" applyFont="1"/>
    <xf numFmtId="0" fontId="10" fillId="2" borderId="0" xfId="0" applyFont="1" applyFill="1"/>
    <xf numFmtId="0" fontId="11" fillId="2" borderId="0" xfId="0" applyFont="1" applyFill="1" applyAlignment="1">
      <alignment horizontal="left"/>
    </xf>
    <xf numFmtId="0" fontId="11" fillId="2" borderId="0" xfId="0" applyFont="1" applyFill="1" applyAlignment="1">
      <alignment horizontal="left" readingOrder="2"/>
    </xf>
    <xf numFmtId="0" fontId="11" fillId="2" borderId="0" xfId="0" applyFont="1" applyFill="1" applyAlignment="1">
      <alignment horizontal="center"/>
    </xf>
    <xf numFmtId="0" fontId="11" fillId="2" borderId="0" xfId="0" applyFont="1" applyFill="1" applyAlignment="1">
      <alignment horizontal="right"/>
    </xf>
    <xf numFmtId="187" fontId="11" fillId="2" borderId="0" xfId="0" applyNumberFormat="1" applyFont="1" applyFill="1"/>
    <xf numFmtId="187" fontId="11" fillId="2" borderId="0" xfId="0" applyNumberFormat="1" applyFont="1" applyFill="1" applyAlignment="1">
      <alignment horizontal="right"/>
    </xf>
    <xf numFmtId="188" fontId="11" fillId="2" borderId="0" xfId="0" applyNumberFormat="1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194" fontId="11" fillId="2" borderId="0" xfId="0" applyNumberFormat="1" applyFont="1" applyFill="1" applyAlignment="1">
      <alignment horizontal="left"/>
    </xf>
    <xf numFmtId="0" fontId="10" fillId="2" borderId="0" xfId="0" applyFont="1" applyFill="1" applyAlignment="1">
      <alignment horizontal="right"/>
    </xf>
    <xf numFmtId="196" fontId="11" fillId="2" borderId="0" xfId="0" applyNumberFormat="1" applyFont="1" applyFill="1" applyAlignment="1">
      <alignment horizontal="left"/>
    </xf>
    <xf numFmtId="187" fontId="11" fillId="2" borderId="0" xfId="0" applyNumberFormat="1" applyFont="1" applyFill="1" applyAlignment="1">
      <alignment horizontal="center"/>
    </xf>
    <xf numFmtId="0" fontId="11" fillId="0" borderId="0" xfId="0" applyFont="1"/>
    <xf numFmtId="187" fontId="12" fillId="2" borderId="0" xfId="0" applyNumberFormat="1" applyFont="1" applyFill="1"/>
    <xf numFmtId="0" fontId="10" fillId="2" borderId="0" xfId="0" applyFont="1" applyFill="1" applyAlignment="1">
      <alignment horizontal="left"/>
    </xf>
    <xf numFmtId="190" fontId="11" fillId="2" borderId="0" xfId="0" applyNumberFormat="1" applyFont="1" applyFill="1" applyAlignment="1">
      <alignment horizontal="center"/>
    </xf>
    <xf numFmtId="2" fontId="11" fillId="2" borderId="0" xfId="0" applyNumberFormat="1" applyFont="1" applyFill="1" applyAlignment="1">
      <alignment horizontal="center"/>
    </xf>
    <xf numFmtId="1" fontId="11" fillId="2" borderId="0" xfId="0" applyNumberFormat="1" applyFont="1" applyFill="1" applyAlignment="1">
      <alignment horizontal="center"/>
    </xf>
    <xf numFmtId="188" fontId="11" fillId="2" borderId="0" xfId="0" applyNumberFormat="1" applyFont="1" applyFill="1" applyAlignment="1">
      <alignment horizontal="left"/>
    </xf>
    <xf numFmtId="189" fontId="11" fillId="2" borderId="0" xfId="0" applyNumberFormat="1" applyFont="1" applyFill="1" applyAlignment="1">
      <alignment horizontal="center"/>
    </xf>
    <xf numFmtId="190" fontId="10" fillId="2" borderId="0" xfId="0" applyNumberFormat="1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11" fillId="2" borderId="0" xfId="0" applyFont="1" applyFill="1"/>
    <xf numFmtId="0" fontId="12" fillId="2" borderId="54" xfId="0" applyFont="1" applyFill="1" applyBorder="1" applyAlignment="1">
      <alignment horizontal="center"/>
    </xf>
    <xf numFmtId="0" fontId="11" fillId="2" borderId="42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2" borderId="57" xfId="0" applyFont="1" applyFill="1" applyBorder="1" applyAlignment="1">
      <alignment horizontal="center"/>
    </xf>
    <xf numFmtId="0" fontId="11" fillId="2" borderId="57" xfId="0" applyFont="1" applyFill="1" applyBorder="1"/>
    <xf numFmtId="1" fontId="11" fillId="2" borderId="57" xfId="0" applyNumberFormat="1" applyFont="1" applyFill="1" applyBorder="1" applyAlignment="1">
      <alignment horizontal="center"/>
    </xf>
    <xf numFmtId="3" fontId="11" fillId="2" borderId="57" xfId="0" applyNumberFormat="1" applyFont="1" applyFill="1" applyBorder="1" applyAlignment="1">
      <alignment horizontal="center"/>
    </xf>
    <xf numFmtId="4" fontId="11" fillId="2" borderId="57" xfId="0" applyNumberFormat="1" applyFont="1" applyFill="1" applyBorder="1" applyAlignment="1">
      <alignment horizontal="center"/>
    </xf>
    <xf numFmtId="0" fontId="11" fillId="2" borderId="58" xfId="0" applyFont="1" applyFill="1" applyBorder="1"/>
    <xf numFmtId="0" fontId="11" fillId="2" borderId="58" xfId="0" applyFont="1" applyFill="1" applyBorder="1" applyAlignment="1">
      <alignment horizontal="center"/>
    </xf>
    <xf numFmtId="3" fontId="11" fillId="2" borderId="58" xfId="0" applyNumberFormat="1" applyFont="1" applyFill="1" applyBorder="1" applyAlignment="1">
      <alignment horizontal="center"/>
    </xf>
    <xf numFmtId="0" fontId="11" fillId="2" borderId="59" xfId="0" applyFont="1" applyFill="1" applyBorder="1"/>
    <xf numFmtId="0" fontId="11" fillId="2" borderId="59" xfId="0" applyFont="1" applyFill="1" applyBorder="1" applyAlignment="1">
      <alignment horizontal="center"/>
    </xf>
    <xf numFmtId="0" fontId="11" fillId="2" borderId="60" xfId="0" applyFont="1" applyFill="1" applyBorder="1"/>
    <xf numFmtId="0" fontId="12" fillId="2" borderId="42" xfId="0" applyFont="1" applyFill="1" applyBorder="1" applyAlignment="1">
      <alignment horizontal="center"/>
    </xf>
    <xf numFmtId="191" fontId="12" fillId="2" borderId="0" xfId="3" applyFont="1" applyFill="1" applyBorder="1" applyAlignment="1" applyProtection="1">
      <alignment horizontal="center"/>
    </xf>
    <xf numFmtId="0" fontId="11" fillId="0" borderId="61" xfId="0" applyFont="1" applyBorder="1" applyAlignment="1">
      <alignment horizontal="center"/>
    </xf>
    <xf numFmtId="0" fontId="11" fillId="2" borderId="0" xfId="5" applyFont="1" applyFill="1" applyAlignment="1">
      <alignment horizontal="center"/>
    </xf>
    <xf numFmtId="3" fontId="11" fillId="2" borderId="0" xfId="5" applyNumberFormat="1" applyFont="1" applyFill="1" applyAlignment="1">
      <alignment horizontal="center"/>
    </xf>
    <xf numFmtId="0" fontId="11" fillId="2" borderId="0" xfId="5" applyFont="1" applyFill="1"/>
    <xf numFmtId="0" fontId="11" fillId="2" borderId="1" xfId="5" applyFont="1" applyFill="1" applyBorder="1" applyAlignment="1">
      <alignment horizontal="center" vertical="center" wrapText="1"/>
    </xf>
    <xf numFmtId="193" fontId="11" fillId="2" borderId="1" xfId="5" applyNumberFormat="1" applyFont="1" applyFill="1" applyBorder="1" applyAlignment="1">
      <alignment horizontal="center" vertical="top"/>
    </xf>
    <xf numFmtId="43" fontId="15" fillId="2" borderId="1" xfId="1" applyFont="1" applyFill="1" applyBorder="1" applyAlignment="1">
      <alignment horizontal="center" vertical="top" wrapText="1"/>
    </xf>
    <xf numFmtId="0" fontId="11" fillId="2" borderId="1" xfId="5" applyFont="1" applyFill="1" applyBorder="1" applyAlignment="1">
      <alignment horizontal="center" vertical="top" wrapText="1"/>
    </xf>
    <xf numFmtId="0" fontId="11" fillId="2" borderId="0" xfId="5" applyFont="1" applyFill="1" applyAlignment="1">
      <alignment horizontal="left"/>
    </xf>
    <xf numFmtId="188" fontId="11" fillId="2" borderId="0" xfId="5" applyNumberFormat="1" applyFont="1" applyFill="1" applyAlignment="1">
      <alignment horizontal="center"/>
    </xf>
    <xf numFmtId="194" fontId="11" fillId="2" borderId="0" xfId="5" applyNumberFormat="1" applyFont="1" applyFill="1" applyAlignment="1">
      <alignment horizontal="center"/>
    </xf>
    <xf numFmtId="190" fontId="11" fillId="2" borderId="0" xfId="5" applyNumberFormat="1" applyFont="1" applyFill="1"/>
    <xf numFmtId="190" fontId="11" fillId="2" borderId="0" xfId="5" applyNumberFormat="1" applyFont="1" applyFill="1" applyAlignment="1">
      <alignment horizontal="center"/>
    </xf>
    <xf numFmtId="0" fontId="11" fillId="2" borderId="0" xfId="5" applyFont="1" applyFill="1" applyAlignment="1">
      <alignment horizontal="right"/>
    </xf>
    <xf numFmtId="0" fontId="11" fillId="2" borderId="0" xfId="5" applyFont="1" applyFill="1" applyAlignment="1">
      <alignment horizontal="left" indent="4"/>
    </xf>
    <xf numFmtId="0" fontId="10" fillId="2" borderId="5" xfId="0" applyFont="1" applyFill="1" applyBorder="1"/>
    <xf numFmtId="0" fontId="10" fillId="2" borderId="6" xfId="0" applyFont="1" applyFill="1" applyBorder="1"/>
    <xf numFmtId="0" fontId="10" fillId="2" borderId="7" xfId="0" applyFont="1" applyFill="1" applyBorder="1"/>
    <xf numFmtId="0" fontId="13" fillId="2" borderId="7" xfId="0" applyFont="1" applyFill="1" applyBorder="1" applyAlignment="1">
      <alignment horizontal="center"/>
    </xf>
    <xf numFmtId="0" fontId="17" fillId="2" borderId="7" xfId="0" applyFont="1" applyFill="1" applyBorder="1"/>
    <xf numFmtId="0" fontId="13" fillId="2" borderId="7" xfId="0" applyFont="1" applyFill="1" applyBorder="1"/>
    <xf numFmtId="0" fontId="10" fillId="2" borderId="8" xfId="0" applyFont="1" applyFill="1" applyBorder="1"/>
    <xf numFmtId="0" fontId="10" fillId="2" borderId="9" xfId="0" applyFont="1" applyFill="1" applyBorder="1"/>
    <xf numFmtId="0" fontId="10" fillId="2" borderId="10" xfId="0" applyFont="1" applyFill="1" applyBorder="1"/>
    <xf numFmtId="0" fontId="10" fillId="2" borderId="11" xfId="0" applyFont="1" applyFill="1" applyBorder="1"/>
    <xf numFmtId="0" fontId="10" fillId="2" borderId="12" xfId="0" applyFont="1" applyFill="1" applyBorder="1"/>
    <xf numFmtId="0" fontId="10" fillId="0" borderId="12" xfId="0" applyFont="1" applyBorder="1"/>
    <xf numFmtId="49" fontId="10" fillId="2" borderId="12" xfId="0" applyNumberFormat="1" applyFont="1" applyFill="1" applyBorder="1"/>
    <xf numFmtId="49" fontId="10" fillId="0" borderId="12" xfId="0" applyNumberFormat="1" applyFont="1" applyBorder="1" applyAlignment="1">
      <alignment horizontal="left"/>
    </xf>
    <xf numFmtId="0" fontId="10" fillId="2" borderId="13" xfId="0" applyFont="1" applyFill="1" applyBorder="1"/>
    <xf numFmtId="0" fontId="10" fillId="2" borderId="14" xfId="0" applyFont="1" applyFill="1" applyBorder="1"/>
    <xf numFmtId="0" fontId="10" fillId="2" borderId="12" xfId="0" applyFont="1" applyFill="1" applyBorder="1" applyAlignment="1">
      <alignment horizontal="center"/>
    </xf>
    <xf numFmtId="0" fontId="10" fillId="2" borderId="15" xfId="0" applyFont="1" applyFill="1" applyBorder="1"/>
    <xf numFmtId="0" fontId="10" fillId="2" borderId="16" xfId="0" applyFont="1" applyFill="1" applyBorder="1"/>
    <xf numFmtId="0" fontId="10" fillId="2" borderId="17" xfId="0" applyFont="1" applyFill="1" applyBorder="1"/>
    <xf numFmtId="0" fontId="13" fillId="2" borderId="18" xfId="0" applyFont="1" applyFill="1" applyBorder="1"/>
    <xf numFmtId="0" fontId="10" fillId="2" borderId="19" xfId="0" applyFont="1" applyFill="1" applyBorder="1"/>
    <xf numFmtId="0" fontId="10" fillId="2" borderId="19" xfId="0" applyFont="1" applyFill="1" applyBorder="1" applyAlignment="1">
      <alignment horizontal="center" vertical="center"/>
    </xf>
    <xf numFmtId="0" fontId="10" fillId="2" borderId="20" xfId="0" applyFont="1" applyFill="1" applyBorder="1"/>
    <xf numFmtId="0" fontId="10" fillId="2" borderId="21" xfId="0" applyFont="1" applyFill="1" applyBorder="1"/>
    <xf numFmtId="0" fontId="10" fillId="2" borderId="22" xfId="0" applyFont="1" applyFill="1" applyBorder="1"/>
    <xf numFmtId="0" fontId="10" fillId="2" borderId="23" xfId="0" applyFont="1" applyFill="1" applyBorder="1"/>
    <xf numFmtId="0" fontId="10" fillId="2" borderId="24" xfId="0" applyFont="1" applyFill="1" applyBorder="1"/>
    <xf numFmtId="0" fontId="10" fillId="2" borderId="25" xfId="0" applyFont="1" applyFill="1" applyBorder="1"/>
    <xf numFmtId="3" fontId="10" fillId="2" borderId="26" xfId="0" applyNumberFormat="1" applyFont="1" applyFill="1" applyBorder="1"/>
    <xf numFmtId="0" fontId="10" fillId="2" borderId="27" xfId="0" applyFont="1" applyFill="1" applyBorder="1"/>
    <xf numFmtId="0" fontId="10" fillId="2" borderId="28" xfId="0" applyFont="1" applyFill="1" applyBorder="1" applyAlignment="1">
      <alignment horizontal="center"/>
    </xf>
    <xf numFmtId="0" fontId="10" fillId="2" borderId="29" xfId="0" applyFont="1" applyFill="1" applyBorder="1"/>
    <xf numFmtId="0" fontId="10" fillId="2" borderId="30" xfId="0" applyFont="1" applyFill="1" applyBorder="1"/>
    <xf numFmtId="0" fontId="10" fillId="2" borderId="31" xfId="0" applyFont="1" applyFill="1" applyBorder="1"/>
    <xf numFmtId="3" fontId="10" fillId="2" borderId="32" xfId="0" applyNumberFormat="1" applyFont="1" applyFill="1" applyBorder="1" applyAlignment="1">
      <alignment horizontal="right"/>
    </xf>
    <xf numFmtId="0" fontId="10" fillId="2" borderId="33" xfId="0" applyFont="1" applyFill="1" applyBorder="1"/>
    <xf numFmtId="3" fontId="10" fillId="2" borderId="32" xfId="0" applyNumberFormat="1" applyFont="1" applyFill="1" applyBorder="1"/>
    <xf numFmtId="0" fontId="10" fillId="2" borderId="34" xfId="0" applyFont="1" applyFill="1" applyBorder="1" applyAlignment="1">
      <alignment horizontal="center"/>
    </xf>
    <xf numFmtId="0" fontId="10" fillId="2" borderId="35" xfId="0" applyFont="1" applyFill="1" applyBorder="1"/>
    <xf numFmtId="0" fontId="10" fillId="2" borderId="36" xfId="0" applyFont="1" applyFill="1" applyBorder="1"/>
    <xf numFmtId="0" fontId="10" fillId="2" borderId="37" xfId="0" applyFont="1" applyFill="1" applyBorder="1"/>
    <xf numFmtId="0" fontId="10" fillId="2" borderId="38" xfId="0" applyFont="1" applyFill="1" applyBorder="1"/>
    <xf numFmtId="0" fontId="10" fillId="2" borderId="39" xfId="0" applyFont="1" applyFill="1" applyBorder="1"/>
    <xf numFmtId="0" fontId="10" fillId="2" borderId="7" xfId="0" applyFont="1" applyFill="1" applyBorder="1" applyAlignment="1">
      <alignment horizontal="center"/>
    </xf>
    <xf numFmtId="0" fontId="13" fillId="2" borderId="7" xfId="0" applyFont="1" applyFill="1" applyBorder="1" applyAlignment="1">
      <alignment horizontal="right"/>
    </xf>
    <xf numFmtId="0" fontId="10" fillId="2" borderId="7" xfId="0" applyFont="1" applyFill="1" applyBorder="1" applyAlignment="1">
      <alignment horizontal="left"/>
    </xf>
    <xf numFmtId="3" fontId="10" fillId="2" borderId="0" xfId="0" applyNumberFormat="1" applyFont="1" applyFill="1"/>
    <xf numFmtId="0" fontId="18" fillId="2" borderId="6" xfId="0" applyFont="1" applyFill="1" applyBorder="1"/>
    <xf numFmtId="0" fontId="10" fillId="2" borderId="40" xfId="0" applyFont="1" applyFill="1" applyBorder="1"/>
    <xf numFmtId="0" fontId="10" fillId="2" borderId="41" xfId="0" applyFont="1" applyFill="1" applyBorder="1"/>
    <xf numFmtId="0" fontId="10" fillId="2" borderId="42" xfId="0" applyFont="1" applyFill="1" applyBorder="1"/>
    <xf numFmtId="0" fontId="10" fillId="2" borderId="43" xfId="0" applyFont="1" applyFill="1" applyBorder="1"/>
    <xf numFmtId="0" fontId="10" fillId="2" borderId="44" xfId="0" applyFont="1" applyFill="1" applyBorder="1"/>
    <xf numFmtId="0" fontId="10" fillId="2" borderId="45" xfId="0" applyFont="1" applyFill="1" applyBorder="1"/>
    <xf numFmtId="0" fontId="10" fillId="2" borderId="46" xfId="0" applyFont="1" applyFill="1" applyBorder="1"/>
    <xf numFmtId="0" fontId="10" fillId="2" borderId="47" xfId="0" applyFont="1" applyFill="1" applyBorder="1"/>
    <xf numFmtId="0" fontId="13" fillId="2" borderId="48" xfId="0" applyFont="1" applyFill="1" applyBorder="1"/>
    <xf numFmtId="0" fontId="10" fillId="2" borderId="4" xfId="0" applyFont="1" applyFill="1" applyBorder="1"/>
    <xf numFmtId="0" fontId="10" fillId="2" borderId="49" xfId="0" applyFont="1" applyFill="1" applyBorder="1"/>
    <xf numFmtId="0" fontId="10" fillId="2" borderId="48" xfId="0" applyFont="1" applyFill="1" applyBorder="1"/>
    <xf numFmtId="0" fontId="10" fillId="2" borderId="4" xfId="0" applyFont="1" applyFill="1" applyBorder="1" applyAlignment="1">
      <alignment horizontal="left"/>
    </xf>
    <xf numFmtId="0" fontId="10" fillId="2" borderId="50" xfId="0" applyFont="1" applyFill="1" applyBorder="1"/>
    <xf numFmtId="0" fontId="10" fillId="2" borderId="51" xfId="0" applyFont="1" applyFill="1" applyBorder="1"/>
    <xf numFmtId="0" fontId="10" fillId="2" borderId="52" xfId="0" applyFont="1" applyFill="1" applyBorder="1"/>
    <xf numFmtId="0" fontId="10" fillId="2" borderId="53" xfId="0" applyFont="1" applyFill="1" applyBorder="1"/>
    <xf numFmtId="43" fontId="10" fillId="2" borderId="1" xfId="1" applyFont="1" applyFill="1" applyBorder="1" applyAlignment="1">
      <alignment horizontal="center" vertical="top" wrapText="1"/>
    </xf>
    <xf numFmtId="0" fontId="20" fillId="0" borderId="54" xfId="4" applyFont="1" applyBorder="1" applyAlignment="1">
      <alignment horizontal="center"/>
    </xf>
    <xf numFmtId="0" fontId="21" fillId="0" borderId="54" xfId="4" applyFont="1" applyBorder="1" applyAlignment="1">
      <alignment horizontal="center"/>
    </xf>
    <xf numFmtId="43" fontId="20" fillId="0" borderId="54" xfId="2" applyFont="1" applyFill="1" applyBorder="1"/>
    <xf numFmtId="43" fontId="20" fillId="0" borderId="54" xfId="4" applyNumberFormat="1" applyFont="1" applyBorder="1" applyAlignment="1">
      <alignment horizontal="center"/>
    </xf>
    <xf numFmtId="0" fontId="20" fillId="0" borderId="54" xfId="4" applyFont="1" applyBorder="1"/>
    <xf numFmtId="0" fontId="20" fillId="0" borderId="0" xfId="4" applyFont="1"/>
    <xf numFmtId="43" fontId="20" fillId="0" borderId="54" xfId="2" applyFont="1" applyFill="1" applyBorder="1" applyAlignment="1">
      <alignment horizontal="center"/>
    </xf>
    <xf numFmtId="198" fontId="5" fillId="3" borderId="62" xfId="4" applyNumberFormat="1" applyFont="1" applyFill="1" applyBorder="1"/>
    <xf numFmtId="2" fontId="11" fillId="2" borderId="54" xfId="0" applyNumberFormat="1" applyFont="1" applyFill="1" applyBorder="1" applyAlignment="1">
      <alignment horizontal="center" vertical="top" wrapText="1"/>
    </xf>
    <xf numFmtId="193" fontId="11" fillId="2" borderId="54" xfId="0" applyNumberFormat="1" applyFont="1" applyFill="1" applyBorder="1" applyAlignment="1">
      <alignment horizontal="center" vertical="top" wrapText="1"/>
    </xf>
    <xf numFmtId="0" fontId="10" fillId="0" borderId="0" xfId="0" applyFont="1" applyAlignment="1">
      <alignment vertical="top"/>
    </xf>
    <xf numFmtId="0" fontId="10" fillId="2" borderId="0" xfId="0" applyFont="1" applyFill="1" applyAlignment="1">
      <alignment horizontal="center"/>
    </xf>
    <xf numFmtId="0" fontId="19" fillId="2" borderId="51" xfId="0" applyFont="1" applyFill="1" applyBorder="1" applyAlignment="1">
      <alignment horizontal="center" vertical="center"/>
    </xf>
    <xf numFmtId="192" fontId="10" fillId="2" borderId="46" xfId="0" applyNumberFormat="1" applyFont="1" applyFill="1" applyBorder="1" applyAlignment="1">
      <alignment horizontal="center"/>
    </xf>
    <xf numFmtId="0" fontId="10" fillId="2" borderId="74" xfId="0" applyFont="1" applyFill="1" applyBorder="1" applyAlignment="1">
      <alignment horizontal="center"/>
    </xf>
    <xf numFmtId="0" fontId="10" fillId="2" borderId="26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0" fontId="10" fillId="2" borderId="70" xfId="0" applyFont="1" applyFill="1" applyBorder="1" applyAlignment="1">
      <alignment horizontal="left"/>
    </xf>
    <xf numFmtId="0" fontId="13" fillId="2" borderId="61" xfId="0" applyFont="1" applyFill="1" applyBorder="1" applyAlignment="1">
      <alignment horizontal="center"/>
    </xf>
    <xf numFmtId="0" fontId="10" fillId="2" borderId="71" xfId="0" applyFont="1" applyFill="1" applyBorder="1" applyAlignment="1">
      <alignment horizontal="left" vertical="center"/>
    </xf>
    <xf numFmtId="0" fontId="13" fillId="2" borderId="72" xfId="0" applyFont="1" applyFill="1" applyBorder="1" applyAlignment="1">
      <alignment horizontal="center"/>
    </xf>
    <xf numFmtId="0" fontId="10" fillId="2" borderId="72" xfId="0" applyFont="1" applyFill="1" applyBorder="1" applyAlignment="1">
      <alignment horizontal="center"/>
    </xf>
    <xf numFmtId="0" fontId="10" fillId="2" borderId="73" xfId="0" applyFont="1" applyFill="1" applyBorder="1" applyAlignment="1">
      <alignment horizontal="center"/>
    </xf>
    <xf numFmtId="0" fontId="10" fillId="2" borderId="19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/>
    </xf>
    <xf numFmtId="0" fontId="10" fillId="2" borderId="0" xfId="0" quotePrefix="1" applyFont="1" applyFill="1" applyAlignment="1">
      <alignment horizontal="center"/>
    </xf>
    <xf numFmtId="0" fontId="10" fillId="2" borderId="68" xfId="0" applyFont="1" applyFill="1" applyBorder="1" applyAlignment="1">
      <alignment horizontal="center"/>
    </xf>
    <xf numFmtId="0" fontId="12" fillId="2" borderId="69" xfId="0" applyFont="1" applyFill="1" applyBorder="1" applyAlignment="1">
      <alignment horizontal="center"/>
    </xf>
    <xf numFmtId="0" fontId="9" fillId="2" borderId="0" xfId="0" applyFont="1" applyFill="1" applyAlignment="1" applyProtection="1">
      <alignment horizontal="center"/>
      <protection locked="0"/>
    </xf>
    <xf numFmtId="0" fontId="11" fillId="2" borderId="0" xfId="0" applyFont="1" applyFill="1" applyAlignment="1">
      <alignment horizontal="center"/>
    </xf>
    <xf numFmtId="17" fontId="10" fillId="2" borderId="0" xfId="0" applyNumberFormat="1" applyFont="1" applyFill="1" applyAlignment="1">
      <alignment horizontal="center"/>
    </xf>
    <xf numFmtId="0" fontId="10" fillId="2" borderId="0" xfId="0" applyFont="1" applyFill="1" applyAlignment="1">
      <alignment horizontal="left"/>
    </xf>
    <xf numFmtId="195" fontId="11" fillId="2" borderId="0" xfId="0" applyNumberFormat="1" applyFont="1" applyFill="1" applyAlignment="1">
      <alignment horizontal="center"/>
    </xf>
    <xf numFmtId="0" fontId="11" fillId="2" borderId="54" xfId="0" applyFont="1" applyFill="1" applyBorder="1" applyAlignment="1">
      <alignment horizontal="center" vertical="top" wrapText="1"/>
    </xf>
    <xf numFmtId="0" fontId="11" fillId="2" borderId="0" xfId="0" applyFont="1" applyFill="1" applyAlignment="1">
      <alignment horizontal="left"/>
    </xf>
    <xf numFmtId="0" fontId="12" fillId="2" borderId="18" xfId="0" applyFont="1" applyFill="1" applyBorder="1" applyAlignment="1">
      <alignment horizontal="center"/>
    </xf>
    <xf numFmtId="0" fontId="12" fillId="2" borderId="20" xfId="0" applyFont="1" applyFill="1" applyBorder="1" applyAlignment="1">
      <alignment horizontal="center"/>
    </xf>
    <xf numFmtId="0" fontId="12" fillId="2" borderId="54" xfId="0" applyFont="1" applyFill="1" applyBorder="1" applyAlignment="1">
      <alignment horizontal="center"/>
    </xf>
    <xf numFmtId="0" fontId="12" fillId="2" borderId="0" xfId="0" applyFont="1" applyFill="1" applyAlignment="1">
      <alignment horizontal="center"/>
    </xf>
    <xf numFmtId="0" fontId="11" fillId="2" borderId="57" xfId="0" applyFont="1" applyFill="1" applyBorder="1" applyAlignment="1">
      <alignment horizontal="center"/>
    </xf>
    <xf numFmtId="0" fontId="11" fillId="2" borderId="57" xfId="0" applyFont="1" applyFill="1" applyBorder="1" applyAlignment="1">
      <alignment horizontal="center" vertical="center"/>
    </xf>
    <xf numFmtId="0" fontId="11" fillId="2" borderId="2" xfId="5" applyFont="1" applyFill="1" applyBorder="1" applyAlignment="1">
      <alignment horizontal="left" vertical="top"/>
    </xf>
    <xf numFmtId="0" fontId="11" fillId="2" borderId="4" xfId="5" applyFont="1" applyFill="1" applyBorder="1" applyAlignment="1">
      <alignment horizontal="left" vertical="top"/>
    </xf>
    <xf numFmtId="0" fontId="11" fillId="2" borderId="3" xfId="5" applyFont="1" applyFill="1" applyBorder="1" applyAlignment="1">
      <alignment horizontal="left" vertical="top"/>
    </xf>
    <xf numFmtId="0" fontId="11" fillId="2" borderId="2" xfId="5" applyFont="1" applyFill="1" applyBorder="1" applyAlignment="1">
      <alignment horizontal="left" vertical="top" wrapText="1"/>
    </xf>
    <xf numFmtId="0" fontId="11" fillId="2" borderId="4" xfId="5" applyFont="1" applyFill="1" applyBorder="1" applyAlignment="1">
      <alignment horizontal="left" vertical="top" wrapText="1"/>
    </xf>
    <xf numFmtId="0" fontId="11" fillId="2" borderId="3" xfId="5" applyFont="1" applyFill="1" applyBorder="1" applyAlignment="1">
      <alignment horizontal="left" vertical="top" wrapText="1"/>
    </xf>
    <xf numFmtId="0" fontId="11" fillId="2" borderId="1" xfId="5" applyFont="1" applyFill="1" applyBorder="1" applyAlignment="1">
      <alignment horizontal="left" vertical="top" wrapText="1"/>
    </xf>
    <xf numFmtId="0" fontId="12" fillId="2" borderId="0" xfId="5" applyFont="1" applyFill="1" applyAlignment="1">
      <alignment horizontal="center"/>
    </xf>
    <xf numFmtId="0" fontId="11" fillId="2" borderId="1" xfId="5" applyFont="1" applyFill="1" applyBorder="1" applyAlignment="1">
      <alignment horizontal="right" vertical="top" wrapText="1"/>
    </xf>
    <xf numFmtId="0" fontId="11" fillId="2" borderId="1" xfId="5" applyFont="1" applyFill="1" applyBorder="1" applyAlignment="1">
      <alignment horizontal="center"/>
    </xf>
    <xf numFmtId="0" fontId="12" fillId="2" borderId="0" xfId="5" applyFont="1" applyFill="1" applyAlignment="1">
      <alignment horizontal="right" vertical="top" wrapText="1"/>
    </xf>
    <xf numFmtId="3" fontId="16" fillId="2" borderId="0" xfId="5" applyNumberFormat="1" applyFont="1" applyFill="1" applyAlignment="1">
      <alignment horizontal="left" vertical="top" wrapText="1"/>
    </xf>
    <xf numFmtId="0" fontId="11" fillId="2" borderId="1" xfId="5" applyFont="1" applyFill="1" applyBorder="1" applyAlignment="1">
      <alignment horizontal="left" vertical="top"/>
    </xf>
    <xf numFmtId="0" fontId="11" fillId="2" borderId="0" xfId="5" applyFont="1" applyFill="1" applyAlignment="1">
      <alignment horizontal="center"/>
    </xf>
    <xf numFmtId="0" fontId="11" fillId="2" borderId="1" xfId="5" applyFont="1" applyFill="1" applyBorder="1" applyAlignment="1">
      <alignment horizontal="center" vertical="center" wrapText="1"/>
    </xf>
    <xf numFmtId="0" fontId="5" fillId="3" borderId="54" xfId="4" applyFont="1" applyFill="1" applyBorder="1" applyAlignment="1">
      <alignment horizontal="left"/>
    </xf>
    <xf numFmtId="0" fontId="5" fillId="3" borderId="54" xfId="4" applyFont="1" applyFill="1" applyBorder="1" applyAlignment="1">
      <alignment horizontal="center"/>
    </xf>
    <xf numFmtId="0" fontId="5" fillId="3" borderId="19" xfId="4" applyFont="1" applyFill="1" applyBorder="1" applyAlignment="1">
      <alignment horizontal="center"/>
    </xf>
    <xf numFmtId="197" fontId="5" fillId="3" borderId="64" xfId="4" applyNumberFormat="1" applyFont="1" applyFill="1" applyBorder="1" applyAlignment="1">
      <alignment horizontal="center"/>
    </xf>
    <xf numFmtId="197" fontId="5" fillId="3" borderId="65" xfId="4" applyNumberFormat="1" applyFont="1" applyFill="1" applyBorder="1" applyAlignment="1">
      <alignment horizontal="center"/>
    </xf>
    <xf numFmtId="0" fontId="7" fillId="3" borderId="54" xfId="4" applyFont="1" applyFill="1" applyBorder="1" applyAlignment="1">
      <alignment horizontal="center"/>
    </xf>
    <xf numFmtId="0" fontId="20" fillId="0" borderId="54" xfId="4" applyFont="1" applyBorder="1" applyAlignment="1">
      <alignment horizontal="left"/>
    </xf>
    <xf numFmtId="0" fontId="20" fillId="0" borderId="54" xfId="4" applyFont="1" applyBorder="1" applyAlignment="1">
      <alignment horizontal="center"/>
    </xf>
    <xf numFmtId="0" fontId="8" fillId="3" borderId="0" xfId="4" applyFont="1" applyFill="1" applyAlignment="1">
      <alignment horizontal="center"/>
    </xf>
    <xf numFmtId="0" fontId="5" fillId="3" borderId="55" xfId="4" applyFont="1" applyFill="1" applyBorder="1" applyAlignment="1">
      <alignment horizontal="center" vertical="center"/>
    </xf>
    <xf numFmtId="0" fontId="5" fillId="3" borderId="56" xfId="4" applyFont="1" applyFill="1" applyBorder="1" applyAlignment="1">
      <alignment horizontal="center" vertical="center"/>
    </xf>
    <xf numFmtId="0" fontId="5" fillId="3" borderId="63" xfId="4" applyFont="1" applyFill="1" applyBorder="1" applyAlignment="1">
      <alignment horizontal="center" vertical="center"/>
    </xf>
    <xf numFmtId="0" fontId="5" fillId="3" borderId="64" xfId="4" applyFont="1" applyFill="1" applyBorder="1" applyAlignment="1">
      <alignment horizontal="center" vertical="center"/>
    </xf>
    <xf numFmtId="0" fontId="5" fillId="3" borderId="65" xfId="4" applyFont="1" applyFill="1" applyBorder="1" applyAlignment="1">
      <alignment horizontal="center" vertical="center"/>
    </xf>
    <xf numFmtId="0" fontId="5" fillId="3" borderId="66" xfId="4" applyFont="1" applyFill="1" applyBorder="1" applyAlignment="1">
      <alignment horizontal="center" vertical="center"/>
    </xf>
    <xf numFmtId="0" fontId="5" fillId="3" borderId="62" xfId="4" applyFont="1" applyFill="1" applyBorder="1" applyAlignment="1">
      <alignment horizontal="center" vertical="center"/>
    </xf>
    <xf numFmtId="0" fontId="5" fillId="3" borderId="67" xfId="4" applyFont="1" applyFill="1" applyBorder="1" applyAlignment="1">
      <alignment horizontal="center" vertical="center"/>
    </xf>
    <xf numFmtId="0" fontId="5" fillId="3" borderId="55" xfId="4" applyFont="1" applyFill="1" applyBorder="1" applyAlignment="1">
      <alignment horizontal="center" vertical="center" wrapText="1"/>
    </xf>
    <xf numFmtId="0" fontId="5" fillId="3" borderId="56" xfId="4" applyFont="1" applyFill="1" applyBorder="1" applyAlignment="1">
      <alignment horizontal="center" vertical="center" wrapText="1"/>
    </xf>
    <xf numFmtId="0" fontId="5" fillId="3" borderId="63" xfId="4" applyFont="1" applyFill="1" applyBorder="1" applyAlignment="1">
      <alignment horizontal="center"/>
    </xf>
    <xf numFmtId="0" fontId="5" fillId="3" borderId="65" xfId="4" applyFont="1" applyFill="1" applyBorder="1" applyAlignment="1">
      <alignment horizontal="center"/>
    </xf>
    <xf numFmtId="0" fontId="5" fillId="3" borderId="66" xfId="4" applyFont="1" applyFill="1" applyBorder="1" applyAlignment="1">
      <alignment horizontal="center"/>
    </xf>
    <xf numFmtId="0" fontId="5" fillId="3" borderId="67" xfId="4" applyFont="1" applyFill="1" applyBorder="1" applyAlignment="1">
      <alignment horizontal="center"/>
    </xf>
  </cellXfs>
  <cellStyles count="6">
    <cellStyle name="Comma" xfId="1" builtinId="3"/>
    <cellStyle name="Comma 2" xfId="2" xr:uid="{257E72AC-3346-475D-8A5D-347224DA1C59}"/>
    <cellStyle name="Currency" xfId="3" builtinId="4"/>
    <cellStyle name="Normal" xfId="0" builtinId="0"/>
    <cellStyle name="Normal 2" xfId="4" xr:uid="{AAF546EE-C614-4049-AC64-10E2D1282E3D}"/>
    <cellStyle name="Normal_เบี้ยเลี้ยง" xfId="5" xr:uid="{74A9FDCA-C24D-49E5-9AC5-19FB541565D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6350</xdr:colOff>
      <xdr:row>24</xdr:row>
      <xdr:rowOff>12700</xdr:rowOff>
    </xdr:from>
    <xdr:to>
      <xdr:col>9</xdr:col>
      <xdr:colOff>95250</xdr:colOff>
      <xdr:row>24</xdr:row>
      <xdr:rowOff>12700</xdr:rowOff>
    </xdr:to>
    <xdr:sp macro="" textlink="">
      <xdr:nvSpPr>
        <xdr:cNvPr id="30777" name="Line 40">
          <a:extLst>
            <a:ext uri="{FF2B5EF4-FFF2-40B4-BE49-F238E27FC236}">
              <a16:creationId xmlns:a16="http://schemas.microsoft.com/office/drawing/2014/main" id="{00000000-0008-0000-0000-000039780000}"/>
            </a:ext>
          </a:extLst>
        </xdr:cNvPr>
        <xdr:cNvSpPr>
          <a:spLocks noChangeShapeType="1"/>
        </xdr:cNvSpPr>
      </xdr:nvSpPr>
      <xdr:spPr bwMode="auto">
        <a:xfrm>
          <a:off x="2914650" y="5473700"/>
          <a:ext cx="58420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139700</xdr:colOff>
      <xdr:row>5</xdr:row>
      <xdr:rowOff>101600</xdr:rowOff>
    </xdr:from>
    <xdr:to>
      <xdr:col>4</xdr:col>
      <xdr:colOff>218050</xdr:colOff>
      <xdr:row>5</xdr:row>
      <xdr:rowOff>179950</xdr:rowOff>
    </xdr:to>
    <xdr:sp macro="" textlink="">
      <xdr:nvSpPr>
        <xdr:cNvPr id="30778" name="Rectangle 48">
          <a:extLst>
            <a:ext uri="{FF2B5EF4-FFF2-40B4-BE49-F238E27FC236}">
              <a16:creationId xmlns:a16="http://schemas.microsoft.com/office/drawing/2014/main" id="{00000000-0008-0000-0000-00003A780000}"/>
            </a:ext>
          </a:extLst>
        </xdr:cNvPr>
        <xdr:cNvSpPr>
          <a:spLocks noChangeAspect="1" noChangeArrowheads="1"/>
        </xdr:cNvSpPr>
      </xdr:nvSpPr>
      <xdr:spPr bwMode="auto">
        <a:xfrm>
          <a:off x="1581150" y="1358900"/>
          <a:ext cx="78350" cy="7835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133349</xdr:colOff>
      <xdr:row>5</xdr:row>
      <xdr:rowOff>104774</xdr:rowOff>
    </xdr:from>
    <xdr:to>
      <xdr:col>6</xdr:col>
      <xdr:colOff>202174</xdr:colOff>
      <xdr:row>5</xdr:row>
      <xdr:rowOff>183124</xdr:rowOff>
    </xdr:to>
    <xdr:sp macro="" textlink="">
      <xdr:nvSpPr>
        <xdr:cNvPr id="30779" name="Rectangle 50">
          <a:extLst>
            <a:ext uri="{FF2B5EF4-FFF2-40B4-BE49-F238E27FC236}">
              <a16:creationId xmlns:a16="http://schemas.microsoft.com/office/drawing/2014/main" id="{00000000-0008-0000-0000-00003B780000}"/>
            </a:ext>
          </a:extLst>
        </xdr:cNvPr>
        <xdr:cNvSpPr>
          <a:spLocks noChangeAspect="1" noChangeArrowheads="1"/>
        </xdr:cNvSpPr>
      </xdr:nvSpPr>
      <xdr:spPr bwMode="auto">
        <a:xfrm>
          <a:off x="2787649" y="1362074"/>
          <a:ext cx="68825" cy="7835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142875</xdr:colOff>
      <xdr:row>5</xdr:row>
      <xdr:rowOff>101600</xdr:rowOff>
    </xdr:from>
    <xdr:to>
      <xdr:col>13</xdr:col>
      <xdr:colOff>221225</xdr:colOff>
      <xdr:row>5</xdr:row>
      <xdr:rowOff>179950</xdr:rowOff>
    </xdr:to>
    <xdr:sp macro="" textlink="">
      <xdr:nvSpPr>
        <xdr:cNvPr id="30780" name="Rectangle 51">
          <a:extLst>
            <a:ext uri="{FF2B5EF4-FFF2-40B4-BE49-F238E27FC236}">
              <a16:creationId xmlns:a16="http://schemas.microsoft.com/office/drawing/2014/main" id="{00000000-0008-0000-0000-00003C780000}"/>
            </a:ext>
          </a:extLst>
        </xdr:cNvPr>
        <xdr:cNvSpPr>
          <a:spLocks noChangeAspect="1" noChangeArrowheads="1"/>
        </xdr:cNvSpPr>
      </xdr:nvSpPr>
      <xdr:spPr bwMode="auto">
        <a:xfrm>
          <a:off x="4549775" y="1358900"/>
          <a:ext cx="78350" cy="7835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6350</xdr:colOff>
      <xdr:row>16</xdr:row>
      <xdr:rowOff>218664</xdr:rowOff>
    </xdr:from>
    <xdr:to>
      <xdr:col>16</xdr:col>
      <xdr:colOff>6350</xdr:colOff>
      <xdr:row>16</xdr:row>
      <xdr:rowOff>218664</xdr:rowOff>
    </xdr:to>
    <xdr:sp macro="" textlink="">
      <xdr:nvSpPr>
        <xdr:cNvPr id="30781" name="Line 52">
          <a:extLst>
            <a:ext uri="{FF2B5EF4-FFF2-40B4-BE49-F238E27FC236}">
              <a16:creationId xmlns:a16="http://schemas.microsoft.com/office/drawing/2014/main" id="{00000000-0008-0000-0000-00003D780000}"/>
            </a:ext>
          </a:extLst>
        </xdr:cNvPr>
        <xdr:cNvSpPr>
          <a:spLocks noChangeShapeType="1"/>
        </xdr:cNvSpPr>
      </xdr:nvSpPr>
      <xdr:spPr bwMode="auto">
        <a:xfrm>
          <a:off x="760067" y="4053512"/>
          <a:ext cx="438150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3</xdr:row>
      <xdr:rowOff>221839</xdr:rowOff>
    </xdr:from>
    <xdr:to>
      <xdr:col>2</xdr:col>
      <xdr:colOff>430696</xdr:colOff>
      <xdr:row>3</xdr:row>
      <xdr:rowOff>221839</xdr:rowOff>
    </xdr:to>
    <xdr:sp macro="" textlink="">
      <xdr:nvSpPr>
        <xdr:cNvPr id="30782" name="Line 72">
          <a:extLst>
            <a:ext uri="{FF2B5EF4-FFF2-40B4-BE49-F238E27FC236}">
              <a16:creationId xmlns:a16="http://schemas.microsoft.com/office/drawing/2014/main" id="{00000000-0008-0000-0000-00003E780000}"/>
            </a:ext>
          </a:extLst>
        </xdr:cNvPr>
        <xdr:cNvSpPr>
          <a:spLocks noChangeShapeType="1"/>
        </xdr:cNvSpPr>
      </xdr:nvSpPr>
      <xdr:spPr bwMode="auto">
        <a:xfrm>
          <a:off x="753717" y="1016969"/>
          <a:ext cx="430696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th-TH"/>
        </a:p>
      </xdr:txBody>
    </xdr:sp>
    <xdr:clientData/>
  </xdr:twoCellAnchor>
  <xdr:twoCellAnchor>
    <xdr:from>
      <xdr:col>4</xdr:col>
      <xdr:colOff>0</xdr:colOff>
      <xdr:row>3</xdr:row>
      <xdr:rowOff>218664</xdr:rowOff>
    </xdr:from>
    <xdr:to>
      <xdr:col>15</xdr:col>
      <xdr:colOff>101600</xdr:colOff>
      <xdr:row>3</xdr:row>
      <xdr:rowOff>218664</xdr:rowOff>
    </xdr:to>
    <xdr:sp macro="" textlink="">
      <xdr:nvSpPr>
        <xdr:cNvPr id="30783" name="Line 73">
          <a:extLst>
            <a:ext uri="{FF2B5EF4-FFF2-40B4-BE49-F238E27FC236}">
              <a16:creationId xmlns:a16="http://schemas.microsoft.com/office/drawing/2014/main" id="{00000000-0008-0000-0000-00003F780000}"/>
            </a:ext>
          </a:extLst>
        </xdr:cNvPr>
        <xdr:cNvSpPr>
          <a:spLocks noChangeShapeType="1"/>
        </xdr:cNvSpPr>
      </xdr:nvSpPr>
      <xdr:spPr bwMode="auto">
        <a:xfrm>
          <a:off x="1441174" y="1013794"/>
          <a:ext cx="354716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120650</xdr:colOff>
      <xdr:row>4</xdr:row>
      <xdr:rowOff>199614</xdr:rowOff>
    </xdr:from>
    <xdr:to>
      <xdr:col>15</xdr:col>
      <xdr:colOff>95250</xdr:colOff>
      <xdr:row>4</xdr:row>
      <xdr:rowOff>199614</xdr:rowOff>
    </xdr:to>
    <xdr:sp macro="" textlink="">
      <xdr:nvSpPr>
        <xdr:cNvPr id="30784" name="Line 73">
          <a:extLst>
            <a:ext uri="{FF2B5EF4-FFF2-40B4-BE49-F238E27FC236}">
              <a16:creationId xmlns:a16="http://schemas.microsoft.com/office/drawing/2014/main" id="{00000000-0008-0000-0000-000040780000}"/>
            </a:ext>
          </a:extLst>
        </xdr:cNvPr>
        <xdr:cNvSpPr>
          <a:spLocks noChangeShapeType="1"/>
        </xdr:cNvSpPr>
      </xdr:nvSpPr>
      <xdr:spPr bwMode="auto">
        <a:xfrm>
          <a:off x="418824" y="1226657"/>
          <a:ext cx="456316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101600</xdr:colOff>
          <xdr:row>0</xdr:row>
          <xdr:rowOff>38100</xdr:rowOff>
        </xdr:from>
        <xdr:to>
          <xdr:col>1</xdr:col>
          <xdr:colOff>171450</xdr:colOff>
          <xdr:row>1</xdr:row>
          <xdr:rowOff>120650</xdr:rowOff>
        </xdr:to>
        <xdr:sp macro="" textlink="">
          <xdr:nvSpPr>
            <xdr:cNvPr id="5138" name="Picture 6" hidden="1">
              <a:extLst>
                <a:ext uri="{63B3BB69-23CF-44E3-9099-C40C66FF867C}">
                  <a14:compatExt spid="_x0000_s5138"/>
                </a:ext>
                <a:ext uri="{FF2B5EF4-FFF2-40B4-BE49-F238E27FC236}">
                  <a16:creationId xmlns:a16="http://schemas.microsoft.com/office/drawing/2014/main" id="{00000000-0008-0000-0000-00001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blipFill dpi="0" rotWithShape="0">
              <a:blip xmlns:r="http://schemas.openxmlformats.org/officeDocument/2006/relationships"/>
              <a:srcRect/>
              <a:stretch>
                <a:fillRect/>
              </a:stretch>
            </a:blip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101600</xdr:colOff>
          <xdr:row>0</xdr:row>
          <xdr:rowOff>38100</xdr:rowOff>
        </xdr:from>
        <xdr:to>
          <xdr:col>1</xdr:col>
          <xdr:colOff>171450</xdr:colOff>
          <xdr:row>1</xdr:row>
          <xdr:rowOff>120650</xdr:rowOff>
        </xdr:to>
        <xdr:sp macro="" textlink="">
          <xdr:nvSpPr>
            <xdr:cNvPr id="5139" name="Picture 53" hidden="1">
              <a:extLst>
                <a:ext uri="{63B3BB69-23CF-44E3-9099-C40C66FF867C}">
                  <a14:compatExt spid="_x0000_s5139"/>
                </a:ext>
                <a:ext uri="{FF2B5EF4-FFF2-40B4-BE49-F238E27FC236}">
                  <a16:creationId xmlns:a16="http://schemas.microsoft.com/office/drawing/2014/main" id="{00000000-0008-0000-0000-00001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blipFill dpi="0" rotWithShape="0">
              <a:blip xmlns:r="http://schemas.openxmlformats.org/officeDocument/2006/relationships"/>
              <a:srcRect/>
              <a:stretch>
                <a:fillRect/>
              </a:stretch>
            </a:blip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2</xdr:col>
      <xdr:colOff>311150</xdr:colOff>
      <xdr:row>6</xdr:row>
      <xdr:rowOff>104775</xdr:rowOff>
    </xdr:from>
    <xdr:to>
      <xdr:col>2</xdr:col>
      <xdr:colOff>389500</xdr:colOff>
      <xdr:row>6</xdr:row>
      <xdr:rowOff>183125</xdr:rowOff>
    </xdr:to>
    <xdr:sp macro="" textlink="">
      <xdr:nvSpPr>
        <xdr:cNvPr id="30786" name="Rectangle 49">
          <a:extLst>
            <a:ext uri="{FF2B5EF4-FFF2-40B4-BE49-F238E27FC236}">
              <a16:creationId xmlns:a16="http://schemas.microsoft.com/office/drawing/2014/main" id="{00000000-0008-0000-0000-000042780000}"/>
            </a:ext>
          </a:extLst>
        </xdr:cNvPr>
        <xdr:cNvSpPr>
          <a:spLocks noChangeAspect="1" noChangeArrowheads="1"/>
        </xdr:cNvSpPr>
      </xdr:nvSpPr>
      <xdr:spPr bwMode="auto">
        <a:xfrm>
          <a:off x="1066800" y="1590675"/>
          <a:ext cx="78350" cy="7835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139700</xdr:colOff>
      <xdr:row>5</xdr:row>
      <xdr:rowOff>76200</xdr:rowOff>
    </xdr:from>
    <xdr:to>
      <xdr:col>6</xdr:col>
      <xdr:colOff>254000</xdr:colOff>
      <xdr:row>5</xdr:row>
      <xdr:rowOff>161925</xdr:rowOff>
    </xdr:to>
    <xdr:sp macro="" textlink="">
      <xdr:nvSpPr>
        <xdr:cNvPr id="30787" name="Line 84">
          <a:extLst>
            <a:ext uri="{FF2B5EF4-FFF2-40B4-BE49-F238E27FC236}">
              <a16:creationId xmlns:a16="http://schemas.microsoft.com/office/drawing/2014/main" id="{00000000-0008-0000-0000-000043780000}"/>
            </a:ext>
          </a:extLst>
        </xdr:cNvPr>
        <xdr:cNvSpPr>
          <a:spLocks noChangeShapeType="1"/>
        </xdr:cNvSpPr>
      </xdr:nvSpPr>
      <xdr:spPr bwMode="auto">
        <a:xfrm flipH="1">
          <a:off x="2781300" y="1409700"/>
          <a:ext cx="114300" cy="85725"/>
        </a:xfrm>
        <a:prstGeom prst="line">
          <a:avLst/>
        </a:prstGeom>
        <a:noFill/>
        <a:ln w="2844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6350</xdr:colOff>
      <xdr:row>40</xdr:row>
      <xdr:rowOff>267671</xdr:rowOff>
    </xdr:from>
    <xdr:to>
      <xdr:col>9</xdr:col>
      <xdr:colOff>95250</xdr:colOff>
      <xdr:row>40</xdr:row>
      <xdr:rowOff>267671</xdr:rowOff>
    </xdr:to>
    <xdr:sp macro="" textlink="">
      <xdr:nvSpPr>
        <xdr:cNvPr id="30788" name="Line 40">
          <a:extLst>
            <a:ext uri="{FF2B5EF4-FFF2-40B4-BE49-F238E27FC236}">
              <a16:creationId xmlns:a16="http://schemas.microsoft.com/office/drawing/2014/main" id="{00000000-0008-0000-0000-000044780000}"/>
            </a:ext>
          </a:extLst>
        </xdr:cNvPr>
        <xdr:cNvSpPr>
          <a:spLocks noChangeShapeType="1"/>
        </xdr:cNvSpPr>
      </xdr:nvSpPr>
      <xdr:spPr bwMode="auto">
        <a:xfrm>
          <a:off x="2921828" y="9361975"/>
          <a:ext cx="585857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196850</xdr:colOff>
      <xdr:row>6</xdr:row>
      <xdr:rowOff>234950</xdr:rowOff>
    </xdr:from>
    <xdr:to>
      <xdr:col>4</xdr:col>
      <xdr:colOff>171450</xdr:colOff>
      <xdr:row>6</xdr:row>
      <xdr:rowOff>234950</xdr:rowOff>
    </xdr:to>
    <xdr:sp macro="" textlink="">
      <xdr:nvSpPr>
        <xdr:cNvPr id="29835" name="Line 7">
          <a:extLst>
            <a:ext uri="{FF2B5EF4-FFF2-40B4-BE49-F238E27FC236}">
              <a16:creationId xmlns:a16="http://schemas.microsoft.com/office/drawing/2014/main" id="{00000000-0008-0000-0100-00008B740000}"/>
            </a:ext>
          </a:extLst>
        </xdr:cNvPr>
        <xdr:cNvSpPr>
          <a:spLocks noChangeShapeType="1"/>
        </xdr:cNvSpPr>
      </xdr:nvSpPr>
      <xdr:spPr bwMode="auto">
        <a:xfrm>
          <a:off x="2359025" y="1816100"/>
          <a:ext cx="46990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234950</xdr:colOff>
      <xdr:row>6</xdr:row>
      <xdr:rowOff>234950</xdr:rowOff>
    </xdr:from>
    <xdr:to>
      <xdr:col>5</xdr:col>
      <xdr:colOff>158750</xdr:colOff>
      <xdr:row>6</xdr:row>
      <xdr:rowOff>234950</xdr:rowOff>
    </xdr:to>
    <xdr:sp macro="" textlink="">
      <xdr:nvSpPr>
        <xdr:cNvPr id="29836" name="Line 8">
          <a:extLst>
            <a:ext uri="{FF2B5EF4-FFF2-40B4-BE49-F238E27FC236}">
              <a16:creationId xmlns:a16="http://schemas.microsoft.com/office/drawing/2014/main" id="{00000000-0008-0000-0100-00008C740000}"/>
            </a:ext>
          </a:extLst>
        </xdr:cNvPr>
        <xdr:cNvSpPr>
          <a:spLocks noChangeShapeType="1"/>
        </xdr:cNvSpPr>
      </xdr:nvSpPr>
      <xdr:spPr bwMode="auto">
        <a:xfrm>
          <a:off x="2892425" y="1816100"/>
          <a:ext cx="6953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6</xdr:row>
      <xdr:rowOff>234950</xdr:rowOff>
    </xdr:from>
    <xdr:to>
      <xdr:col>8</xdr:col>
      <xdr:colOff>114300</xdr:colOff>
      <xdr:row>6</xdr:row>
      <xdr:rowOff>234950</xdr:rowOff>
    </xdr:to>
    <xdr:sp macro="" textlink="">
      <xdr:nvSpPr>
        <xdr:cNvPr id="29837" name="Line 9">
          <a:extLst>
            <a:ext uri="{FF2B5EF4-FFF2-40B4-BE49-F238E27FC236}">
              <a16:creationId xmlns:a16="http://schemas.microsoft.com/office/drawing/2014/main" id="{00000000-0008-0000-0100-00008D740000}"/>
            </a:ext>
          </a:extLst>
        </xdr:cNvPr>
        <xdr:cNvSpPr>
          <a:spLocks noChangeShapeType="1"/>
        </xdr:cNvSpPr>
      </xdr:nvSpPr>
      <xdr:spPr bwMode="auto">
        <a:xfrm>
          <a:off x="4206875" y="1816100"/>
          <a:ext cx="126047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63500</xdr:colOff>
      <xdr:row>6</xdr:row>
      <xdr:rowOff>234950</xdr:rowOff>
    </xdr:from>
    <xdr:to>
      <xdr:col>11</xdr:col>
      <xdr:colOff>215900</xdr:colOff>
      <xdr:row>6</xdr:row>
      <xdr:rowOff>234950</xdr:rowOff>
    </xdr:to>
    <xdr:sp macro="" textlink="">
      <xdr:nvSpPr>
        <xdr:cNvPr id="29838" name="Line 10">
          <a:extLst>
            <a:ext uri="{FF2B5EF4-FFF2-40B4-BE49-F238E27FC236}">
              <a16:creationId xmlns:a16="http://schemas.microsoft.com/office/drawing/2014/main" id="{00000000-0008-0000-0100-00008E740000}"/>
            </a:ext>
          </a:extLst>
        </xdr:cNvPr>
        <xdr:cNvSpPr>
          <a:spLocks noChangeShapeType="1"/>
        </xdr:cNvSpPr>
      </xdr:nvSpPr>
      <xdr:spPr bwMode="auto">
        <a:xfrm>
          <a:off x="5921375" y="1816100"/>
          <a:ext cx="124777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247650</xdr:colOff>
      <xdr:row>7</xdr:row>
      <xdr:rowOff>234950</xdr:rowOff>
    </xdr:from>
    <xdr:to>
      <xdr:col>2</xdr:col>
      <xdr:colOff>215900</xdr:colOff>
      <xdr:row>7</xdr:row>
      <xdr:rowOff>234950</xdr:rowOff>
    </xdr:to>
    <xdr:sp macro="" textlink="">
      <xdr:nvSpPr>
        <xdr:cNvPr id="29839" name="Line 11">
          <a:extLst>
            <a:ext uri="{FF2B5EF4-FFF2-40B4-BE49-F238E27FC236}">
              <a16:creationId xmlns:a16="http://schemas.microsoft.com/office/drawing/2014/main" id="{00000000-0008-0000-0100-00008F740000}"/>
            </a:ext>
          </a:extLst>
        </xdr:cNvPr>
        <xdr:cNvSpPr>
          <a:spLocks noChangeShapeType="1"/>
        </xdr:cNvSpPr>
      </xdr:nvSpPr>
      <xdr:spPr bwMode="auto">
        <a:xfrm>
          <a:off x="438150" y="2073275"/>
          <a:ext cx="116840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63500</xdr:colOff>
      <xdr:row>7</xdr:row>
      <xdr:rowOff>234950</xdr:rowOff>
    </xdr:from>
    <xdr:to>
      <xdr:col>4</xdr:col>
      <xdr:colOff>158750</xdr:colOff>
      <xdr:row>7</xdr:row>
      <xdr:rowOff>234950</xdr:rowOff>
    </xdr:to>
    <xdr:sp macro="" textlink="">
      <xdr:nvSpPr>
        <xdr:cNvPr id="29840" name="Line 12">
          <a:extLst>
            <a:ext uri="{FF2B5EF4-FFF2-40B4-BE49-F238E27FC236}">
              <a16:creationId xmlns:a16="http://schemas.microsoft.com/office/drawing/2014/main" id="{00000000-0008-0000-0100-000090740000}"/>
            </a:ext>
          </a:extLst>
        </xdr:cNvPr>
        <xdr:cNvSpPr>
          <a:spLocks noChangeShapeType="1"/>
        </xdr:cNvSpPr>
      </xdr:nvSpPr>
      <xdr:spPr bwMode="auto">
        <a:xfrm>
          <a:off x="2225675" y="2073275"/>
          <a:ext cx="59055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311150</xdr:colOff>
      <xdr:row>7</xdr:row>
      <xdr:rowOff>234950</xdr:rowOff>
    </xdr:from>
    <xdr:to>
      <xdr:col>7</xdr:col>
      <xdr:colOff>82550</xdr:colOff>
      <xdr:row>7</xdr:row>
      <xdr:rowOff>234950</xdr:rowOff>
    </xdr:to>
    <xdr:sp macro="" textlink="">
      <xdr:nvSpPr>
        <xdr:cNvPr id="29841" name="Line 13">
          <a:extLst>
            <a:ext uri="{FF2B5EF4-FFF2-40B4-BE49-F238E27FC236}">
              <a16:creationId xmlns:a16="http://schemas.microsoft.com/office/drawing/2014/main" id="{00000000-0008-0000-0100-000091740000}"/>
            </a:ext>
          </a:extLst>
        </xdr:cNvPr>
        <xdr:cNvSpPr>
          <a:spLocks noChangeShapeType="1"/>
        </xdr:cNvSpPr>
      </xdr:nvSpPr>
      <xdr:spPr bwMode="auto">
        <a:xfrm>
          <a:off x="2968625" y="2073275"/>
          <a:ext cx="203835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234950</xdr:colOff>
      <xdr:row>7</xdr:row>
      <xdr:rowOff>234950</xdr:rowOff>
    </xdr:from>
    <xdr:to>
      <xdr:col>9</xdr:col>
      <xdr:colOff>120650</xdr:colOff>
      <xdr:row>7</xdr:row>
      <xdr:rowOff>234950</xdr:rowOff>
    </xdr:to>
    <xdr:sp macro="" textlink="">
      <xdr:nvSpPr>
        <xdr:cNvPr id="29842" name="Line 14">
          <a:extLst>
            <a:ext uri="{FF2B5EF4-FFF2-40B4-BE49-F238E27FC236}">
              <a16:creationId xmlns:a16="http://schemas.microsoft.com/office/drawing/2014/main" id="{00000000-0008-0000-0100-000092740000}"/>
            </a:ext>
          </a:extLst>
        </xdr:cNvPr>
        <xdr:cNvSpPr>
          <a:spLocks noChangeShapeType="1"/>
        </xdr:cNvSpPr>
      </xdr:nvSpPr>
      <xdr:spPr bwMode="auto">
        <a:xfrm>
          <a:off x="5159375" y="2073275"/>
          <a:ext cx="81915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247650</xdr:colOff>
      <xdr:row>7</xdr:row>
      <xdr:rowOff>234950</xdr:rowOff>
    </xdr:from>
    <xdr:to>
      <xdr:col>11</xdr:col>
      <xdr:colOff>63500</xdr:colOff>
      <xdr:row>7</xdr:row>
      <xdr:rowOff>234950</xdr:rowOff>
    </xdr:to>
    <xdr:sp macro="" textlink="">
      <xdr:nvSpPr>
        <xdr:cNvPr id="29843" name="Line 15">
          <a:extLst>
            <a:ext uri="{FF2B5EF4-FFF2-40B4-BE49-F238E27FC236}">
              <a16:creationId xmlns:a16="http://schemas.microsoft.com/office/drawing/2014/main" id="{00000000-0008-0000-0100-000093740000}"/>
            </a:ext>
          </a:extLst>
        </xdr:cNvPr>
        <xdr:cNvSpPr>
          <a:spLocks noChangeShapeType="1"/>
        </xdr:cNvSpPr>
      </xdr:nvSpPr>
      <xdr:spPr bwMode="auto">
        <a:xfrm>
          <a:off x="6105525" y="2073275"/>
          <a:ext cx="9112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254000</xdr:colOff>
      <xdr:row>3</xdr:row>
      <xdr:rowOff>234950</xdr:rowOff>
    </xdr:from>
    <xdr:to>
      <xdr:col>6</xdr:col>
      <xdr:colOff>95250</xdr:colOff>
      <xdr:row>3</xdr:row>
      <xdr:rowOff>234950</xdr:rowOff>
    </xdr:to>
    <xdr:sp macro="" textlink="">
      <xdr:nvSpPr>
        <xdr:cNvPr id="29844" name="Line 16">
          <a:extLst>
            <a:ext uri="{FF2B5EF4-FFF2-40B4-BE49-F238E27FC236}">
              <a16:creationId xmlns:a16="http://schemas.microsoft.com/office/drawing/2014/main" id="{00000000-0008-0000-0100-000094740000}"/>
            </a:ext>
          </a:extLst>
        </xdr:cNvPr>
        <xdr:cNvSpPr>
          <a:spLocks noChangeShapeType="1"/>
        </xdr:cNvSpPr>
      </xdr:nvSpPr>
      <xdr:spPr bwMode="auto">
        <a:xfrm>
          <a:off x="1644650" y="1044575"/>
          <a:ext cx="259397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330200</xdr:colOff>
      <xdr:row>3</xdr:row>
      <xdr:rowOff>234950</xdr:rowOff>
    </xdr:from>
    <xdr:to>
      <xdr:col>11</xdr:col>
      <xdr:colOff>234950</xdr:colOff>
      <xdr:row>3</xdr:row>
      <xdr:rowOff>234950</xdr:rowOff>
    </xdr:to>
    <xdr:sp macro="" textlink="">
      <xdr:nvSpPr>
        <xdr:cNvPr id="29845" name="Line 17">
          <a:extLst>
            <a:ext uri="{FF2B5EF4-FFF2-40B4-BE49-F238E27FC236}">
              <a16:creationId xmlns:a16="http://schemas.microsoft.com/office/drawing/2014/main" id="{00000000-0008-0000-0100-000095740000}"/>
            </a:ext>
          </a:extLst>
        </xdr:cNvPr>
        <xdr:cNvSpPr>
          <a:spLocks noChangeShapeType="1"/>
        </xdr:cNvSpPr>
      </xdr:nvSpPr>
      <xdr:spPr bwMode="auto">
        <a:xfrm>
          <a:off x="4473575" y="1044575"/>
          <a:ext cx="27146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63500</xdr:colOff>
      <xdr:row>8</xdr:row>
      <xdr:rowOff>234950</xdr:rowOff>
    </xdr:from>
    <xdr:to>
      <xdr:col>4</xdr:col>
      <xdr:colOff>158750</xdr:colOff>
      <xdr:row>8</xdr:row>
      <xdr:rowOff>234950</xdr:rowOff>
    </xdr:to>
    <xdr:sp macro="" textlink="">
      <xdr:nvSpPr>
        <xdr:cNvPr id="29846" name="Line 18">
          <a:extLst>
            <a:ext uri="{FF2B5EF4-FFF2-40B4-BE49-F238E27FC236}">
              <a16:creationId xmlns:a16="http://schemas.microsoft.com/office/drawing/2014/main" id="{00000000-0008-0000-0100-000096740000}"/>
            </a:ext>
          </a:extLst>
        </xdr:cNvPr>
        <xdr:cNvSpPr>
          <a:spLocks noChangeShapeType="1"/>
        </xdr:cNvSpPr>
      </xdr:nvSpPr>
      <xdr:spPr bwMode="auto">
        <a:xfrm>
          <a:off x="2225675" y="2330450"/>
          <a:ext cx="59055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234950</xdr:colOff>
      <xdr:row>8</xdr:row>
      <xdr:rowOff>234950</xdr:rowOff>
    </xdr:from>
    <xdr:to>
      <xdr:col>9</xdr:col>
      <xdr:colOff>120650</xdr:colOff>
      <xdr:row>8</xdr:row>
      <xdr:rowOff>234950</xdr:rowOff>
    </xdr:to>
    <xdr:sp macro="" textlink="">
      <xdr:nvSpPr>
        <xdr:cNvPr id="29847" name="Line 20">
          <a:extLst>
            <a:ext uri="{FF2B5EF4-FFF2-40B4-BE49-F238E27FC236}">
              <a16:creationId xmlns:a16="http://schemas.microsoft.com/office/drawing/2014/main" id="{00000000-0008-0000-0100-000097740000}"/>
            </a:ext>
          </a:extLst>
        </xdr:cNvPr>
        <xdr:cNvSpPr>
          <a:spLocks noChangeShapeType="1"/>
        </xdr:cNvSpPr>
      </xdr:nvSpPr>
      <xdr:spPr bwMode="auto">
        <a:xfrm>
          <a:off x="5159375" y="2330450"/>
          <a:ext cx="81915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247650</xdr:colOff>
      <xdr:row>8</xdr:row>
      <xdr:rowOff>234950</xdr:rowOff>
    </xdr:from>
    <xdr:to>
      <xdr:col>11</xdr:col>
      <xdr:colOff>63500</xdr:colOff>
      <xdr:row>8</xdr:row>
      <xdr:rowOff>234950</xdr:rowOff>
    </xdr:to>
    <xdr:sp macro="" textlink="">
      <xdr:nvSpPr>
        <xdr:cNvPr id="29848" name="Line 21">
          <a:extLst>
            <a:ext uri="{FF2B5EF4-FFF2-40B4-BE49-F238E27FC236}">
              <a16:creationId xmlns:a16="http://schemas.microsoft.com/office/drawing/2014/main" id="{00000000-0008-0000-0100-000098740000}"/>
            </a:ext>
          </a:extLst>
        </xdr:cNvPr>
        <xdr:cNvSpPr>
          <a:spLocks noChangeShapeType="1"/>
        </xdr:cNvSpPr>
      </xdr:nvSpPr>
      <xdr:spPr bwMode="auto">
        <a:xfrm>
          <a:off x="6105525" y="2330450"/>
          <a:ext cx="9112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273050</xdr:colOff>
      <xdr:row>9</xdr:row>
      <xdr:rowOff>234950</xdr:rowOff>
    </xdr:from>
    <xdr:to>
      <xdr:col>3</xdr:col>
      <xdr:colOff>273050</xdr:colOff>
      <xdr:row>9</xdr:row>
      <xdr:rowOff>234950</xdr:rowOff>
    </xdr:to>
    <xdr:sp macro="" textlink="">
      <xdr:nvSpPr>
        <xdr:cNvPr id="29849" name="Line 22">
          <a:extLst>
            <a:ext uri="{FF2B5EF4-FFF2-40B4-BE49-F238E27FC236}">
              <a16:creationId xmlns:a16="http://schemas.microsoft.com/office/drawing/2014/main" id="{00000000-0008-0000-0100-000099740000}"/>
            </a:ext>
          </a:extLst>
        </xdr:cNvPr>
        <xdr:cNvSpPr>
          <a:spLocks noChangeShapeType="1"/>
        </xdr:cNvSpPr>
      </xdr:nvSpPr>
      <xdr:spPr bwMode="auto">
        <a:xfrm>
          <a:off x="1663700" y="2587625"/>
          <a:ext cx="7715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82550</xdr:colOff>
      <xdr:row>1</xdr:row>
      <xdr:rowOff>234950</xdr:rowOff>
    </xdr:from>
    <xdr:to>
      <xdr:col>11</xdr:col>
      <xdr:colOff>234950</xdr:colOff>
      <xdr:row>1</xdr:row>
      <xdr:rowOff>234950</xdr:rowOff>
    </xdr:to>
    <xdr:sp macro="" textlink="">
      <xdr:nvSpPr>
        <xdr:cNvPr id="29850" name="Line 23">
          <a:extLst>
            <a:ext uri="{FF2B5EF4-FFF2-40B4-BE49-F238E27FC236}">
              <a16:creationId xmlns:a16="http://schemas.microsoft.com/office/drawing/2014/main" id="{00000000-0008-0000-0100-00009A740000}"/>
            </a:ext>
          </a:extLst>
        </xdr:cNvPr>
        <xdr:cNvSpPr>
          <a:spLocks noChangeShapeType="1"/>
        </xdr:cNvSpPr>
      </xdr:nvSpPr>
      <xdr:spPr bwMode="auto">
        <a:xfrm>
          <a:off x="5006975" y="530225"/>
          <a:ext cx="21812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63500</xdr:colOff>
      <xdr:row>2</xdr:row>
      <xdr:rowOff>234950</xdr:rowOff>
    </xdr:from>
    <xdr:to>
      <xdr:col>7</xdr:col>
      <xdr:colOff>254000</xdr:colOff>
      <xdr:row>2</xdr:row>
      <xdr:rowOff>234950</xdr:rowOff>
    </xdr:to>
    <xdr:sp macro="" textlink="">
      <xdr:nvSpPr>
        <xdr:cNvPr id="29851" name="Line 24">
          <a:extLst>
            <a:ext uri="{FF2B5EF4-FFF2-40B4-BE49-F238E27FC236}">
              <a16:creationId xmlns:a16="http://schemas.microsoft.com/office/drawing/2014/main" id="{00000000-0008-0000-0100-00009B740000}"/>
            </a:ext>
          </a:extLst>
        </xdr:cNvPr>
        <xdr:cNvSpPr>
          <a:spLocks noChangeShapeType="1"/>
        </xdr:cNvSpPr>
      </xdr:nvSpPr>
      <xdr:spPr bwMode="auto">
        <a:xfrm>
          <a:off x="4987925" y="787400"/>
          <a:ext cx="19050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234950</xdr:colOff>
      <xdr:row>2</xdr:row>
      <xdr:rowOff>234950</xdr:rowOff>
    </xdr:from>
    <xdr:to>
      <xdr:col>10</xdr:col>
      <xdr:colOff>139700</xdr:colOff>
      <xdr:row>2</xdr:row>
      <xdr:rowOff>234950</xdr:rowOff>
    </xdr:to>
    <xdr:sp macro="" textlink="">
      <xdr:nvSpPr>
        <xdr:cNvPr id="29852" name="Line 25">
          <a:extLst>
            <a:ext uri="{FF2B5EF4-FFF2-40B4-BE49-F238E27FC236}">
              <a16:creationId xmlns:a16="http://schemas.microsoft.com/office/drawing/2014/main" id="{00000000-0008-0000-0100-00009C740000}"/>
            </a:ext>
          </a:extLst>
        </xdr:cNvPr>
        <xdr:cNvSpPr>
          <a:spLocks noChangeShapeType="1"/>
        </xdr:cNvSpPr>
      </xdr:nvSpPr>
      <xdr:spPr bwMode="auto">
        <a:xfrm>
          <a:off x="5588000" y="787400"/>
          <a:ext cx="104775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254000</xdr:colOff>
      <xdr:row>2</xdr:row>
      <xdr:rowOff>234950</xdr:rowOff>
    </xdr:from>
    <xdr:to>
      <xdr:col>11</xdr:col>
      <xdr:colOff>247650</xdr:colOff>
      <xdr:row>2</xdr:row>
      <xdr:rowOff>234950</xdr:rowOff>
    </xdr:to>
    <xdr:sp macro="" textlink="">
      <xdr:nvSpPr>
        <xdr:cNvPr id="29853" name="Line 26">
          <a:extLst>
            <a:ext uri="{FF2B5EF4-FFF2-40B4-BE49-F238E27FC236}">
              <a16:creationId xmlns:a16="http://schemas.microsoft.com/office/drawing/2014/main" id="{00000000-0008-0000-0100-00009D740000}"/>
            </a:ext>
          </a:extLst>
        </xdr:cNvPr>
        <xdr:cNvSpPr>
          <a:spLocks noChangeShapeType="1"/>
        </xdr:cNvSpPr>
      </xdr:nvSpPr>
      <xdr:spPr bwMode="auto">
        <a:xfrm>
          <a:off x="6750050" y="787400"/>
          <a:ext cx="45085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82550</xdr:colOff>
      <xdr:row>5</xdr:row>
      <xdr:rowOff>234950</xdr:rowOff>
    </xdr:from>
    <xdr:to>
      <xdr:col>5</xdr:col>
      <xdr:colOff>311150</xdr:colOff>
      <xdr:row>5</xdr:row>
      <xdr:rowOff>234950</xdr:rowOff>
    </xdr:to>
    <xdr:sp macro="" textlink="">
      <xdr:nvSpPr>
        <xdr:cNvPr id="29854" name="Line 27">
          <a:extLst>
            <a:ext uri="{FF2B5EF4-FFF2-40B4-BE49-F238E27FC236}">
              <a16:creationId xmlns:a16="http://schemas.microsoft.com/office/drawing/2014/main" id="{00000000-0008-0000-0100-00009E740000}"/>
            </a:ext>
          </a:extLst>
        </xdr:cNvPr>
        <xdr:cNvSpPr>
          <a:spLocks noChangeShapeType="1"/>
        </xdr:cNvSpPr>
      </xdr:nvSpPr>
      <xdr:spPr bwMode="auto">
        <a:xfrm>
          <a:off x="2244725" y="1558925"/>
          <a:ext cx="14954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177800</xdr:colOff>
      <xdr:row>5</xdr:row>
      <xdr:rowOff>234950</xdr:rowOff>
    </xdr:from>
    <xdr:to>
      <xdr:col>11</xdr:col>
      <xdr:colOff>234950</xdr:colOff>
      <xdr:row>5</xdr:row>
      <xdr:rowOff>234950</xdr:rowOff>
    </xdr:to>
    <xdr:sp macro="" textlink="">
      <xdr:nvSpPr>
        <xdr:cNvPr id="29855" name="Line 28">
          <a:extLst>
            <a:ext uri="{FF2B5EF4-FFF2-40B4-BE49-F238E27FC236}">
              <a16:creationId xmlns:a16="http://schemas.microsoft.com/office/drawing/2014/main" id="{00000000-0008-0000-0100-00009F740000}"/>
            </a:ext>
          </a:extLst>
        </xdr:cNvPr>
        <xdr:cNvSpPr>
          <a:spLocks noChangeShapeType="1"/>
        </xdr:cNvSpPr>
      </xdr:nvSpPr>
      <xdr:spPr bwMode="auto">
        <a:xfrm>
          <a:off x="5102225" y="1558925"/>
          <a:ext cx="208597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311150</xdr:colOff>
      <xdr:row>8</xdr:row>
      <xdr:rowOff>234950</xdr:rowOff>
    </xdr:from>
    <xdr:to>
      <xdr:col>7</xdr:col>
      <xdr:colOff>82550</xdr:colOff>
      <xdr:row>8</xdr:row>
      <xdr:rowOff>234950</xdr:rowOff>
    </xdr:to>
    <xdr:sp macro="" textlink="">
      <xdr:nvSpPr>
        <xdr:cNvPr id="29856" name="Line 13">
          <a:extLst>
            <a:ext uri="{FF2B5EF4-FFF2-40B4-BE49-F238E27FC236}">
              <a16:creationId xmlns:a16="http://schemas.microsoft.com/office/drawing/2014/main" id="{00000000-0008-0000-0100-0000A0740000}"/>
            </a:ext>
          </a:extLst>
        </xdr:cNvPr>
        <xdr:cNvSpPr>
          <a:spLocks noChangeShapeType="1"/>
        </xdr:cNvSpPr>
      </xdr:nvSpPr>
      <xdr:spPr bwMode="auto">
        <a:xfrm>
          <a:off x="2968625" y="2330450"/>
          <a:ext cx="203835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273050</xdr:colOff>
      <xdr:row>13</xdr:row>
      <xdr:rowOff>234950</xdr:rowOff>
    </xdr:from>
    <xdr:to>
      <xdr:col>5</xdr:col>
      <xdr:colOff>82550</xdr:colOff>
      <xdr:row>13</xdr:row>
      <xdr:rowOff>234950</xdr:rowOff>
    </xdr:to>
    <xdr:sp macro="" textlink="">
      <xdr:nvSpPr>
        <xdr:cNvPr id="25184" name="Line 1">
          <a:extLst>
            <a:ext uri="{FF2B5EF4-FFF2-40B4-BE49-F238E27FC236}">
              <a16:creationId xmlns:a16="http://schemas.microsoft.com/office/drawing/2014/main" id="{00000000-0008-0000-0300-000060620000}"/>
            </a:ext>
          </a:extLst>
        </xdr:cNvPr>
        <xdr:cNvSpPr>
          <a:spLocks noChangeShapeType="1"/>
        </xdr:cNvSpPr>
      </xdr:nvSpPr>
      <xdr:spPr bwMode="auto">
        <a:xfrm>
          <a:off x="1311275" y="15179675"/>
          <a:ext cx="180975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196850</xdr:colOff>
      <xdr:row>13</xdr:row>
      <xdr:rowOff>234950</xdr:rowOff>
    </xdr:from>
    <xdr:to>
      <xdr:col>11</xdr:col>
      <xdr:colOff>323850</xdr:colOff>
      <xdr:row>13</xdr:row>
      <xdr:rowOff>234950</xdr:rowOff>
    </xdr:to>
    <xdr:sp macro="" textlink="">
      <xdr:nvSpPr>
        <xdr:cNvPr id="25185" name="Line 2">
          <a:extLst>
            <a:ext uri="{FF2B5EF4-FFF2-40B4-BE49-F238E27FC236}">
              <a16:creationId xmlns:a16="http://schemas.microsoft.com/office/drawing/2014/main" id="{00000000-0008-0000-0300-000061620000}"/>
            </a:ext>
          </a:extLst>
        </xdr:cNvPr>
        <xdr:cNvSpPr>
          <a:spLocks noChangeShapeType="1"/>
        </xdr:cNvSpPr>
      </xdr:nvSpPr>
      <xdr:spPr bwMode="auto">
        <a:xfrm>
          <a:off x="3530600" y="15179675"/>
          <a:ext cx="590867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247650</xdr:colOff>
      <xdr:row>14</xdr:row>
      <xdr:rowOff>234950</xdr:rowOff>
    </xdr:from>
    <xdr:to>
      <xdr:col>1</xdr:col>
      <xdr:colOff>254000</xdr:colOff>
      <xdr:row>14</xdr:row>
      <xdr:rowOff>234950</xdr:rowOff>
    </xdr:to>
    <xdr:sp macro="" textlink="">
      <xdr:nvSpPr>
        <xdr:cNvPr id="25186" name="Line 3">
          <a:extLst>
            <a:ext uri="{FF2B5EF4-FFF2-40B4-BE49-F238E27FC236}">
              <a16:creationId xmlns:a16="http://schemas.microsoft.com/office/drawing/2014/main" id="{00000000-0008-0000-0300-000062620000}"/>
            </a:ext>
          </a:extLst>
        </xdr:cNvPr>
        <xdr:cNvSpPr>
          <a:spLocks noChangeShapeType="1"/>
        </xdr:cNvSpPr>
      </xdr:nvSpPr>
      <xdr:spPr bwMode="auto">
        <a:xfrm>
          <a:off x="247650" y="15436850"/>
          <a:ext cx="104457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95250</xdr:colOff>
      <xdr:row>15</xdr:row>
      <xdr:rowOff>234950</xdr:rowOff>
    </xdr:from>
    <xdr:to>
      <xdr:col>3</xdr:col>
      <xdr:colOff>6350</xdr:colOff>
      <xdr:row>15</xdr:row>
      <xdr:rowOff>234950</xdr:rowOff>
    </xdr:to>
    <xdr:sp macro="" textlink="">
      <xdr:nvSpPr>
        <xdr:cNvPr id="25187" name="Line 4">
          <a:extLst>
            <a:ext uri="{FF2B5EF4-FFF2-40B4-BE49-F238E27FC236}">
              <a16:creationId xmlns:a16="http://schemas.microsoft.com/office/drawing/2014/main" id="{00000000-0008-0000-0300-000063620000}"/>
            </a:ext>
          </a:extLst>
        </xdr:cNvPr>
        <xdr:cNvSpPr>
          <a:spLocks noChangeShapeType="1"/>
        </xdr:cNvSpPr>
      </xdr:nvSpPr>
      <xdr:spPr bwMode="auto">
        <a:xfrm>
          <a:off x="1695450" y="15694025"/>
          <a:ext cx="2254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95250</xdr:colOff>
      <xdr:row>15</xdr:row>
      <xdr:rowOff>238125</xdr:rowOff>
    </xdr:from>
    <xdr:to>
      <xdr:col>4</xdr:col>
      <xdr:colOff>676275</xdr:colOff>
      <xdr:row>15</xdr:row>
      <xdr:rowOff>238125</xdr:rowOff>
    </xdr:to>
    <xdr:sp macro="" textlink="">
      <xdr:nvSpPr>
        <xdr:cNvPr id="25188" name="Line 5">
          <a:extLst>
            <a:ext uri="{FF2B5EF4-FFF2-40B4-BE49-F238E27FC236}">
              <a16:creationId xmlns:a16="http://schemas.microsoft.com/office/drawing/2014/main" id="{00000000-0008-0000-0300-000064620000}"/>
            </a:ext>
          </a:extLst>
        </xdr:cNvPr>
        <xdr:cNvSpPr>
          <a:spLocks noChangeShapeType="1"/>
        </xdr:cNvSpPr>
      </xdr:nvSpPr>
      <xdr:spPr bwMode="auto">
        <a:xfrm>
          <a:off x="2400300" y="15697200"/>
          <a:ext cx="58102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95250</xdr:colOff>
      <xdr:row>15</xdr:row>
      <xdr:rowOff>234950</xdr:rowOff>
    </xdr:from>
    <xdr:to>
      <xdr:col>7</xdr:col>
      <xdr:colOff>95250</xdr:colOff>
      <xdr:row>15</xdr:row>
      <xdr:rowOff>234950</xdr:rowOff>
    </xdr:to>
    <xdr:sp macro="" textlink="">
      <xdr:nvSpPr>
        <xdr:cNvPr id="25189" name="Line 6">
          <a:extLst>
            <a:ext uri="{FF2B5EF4-FFF2-40B4-BE49-F238E27FC236}">
              <a16:creationId xmlns:a16="http://schemas.microsoft.com/office/drawing/2014/main" id="{00000000-0008-0000-0300-000065620000}"/>
            </a:ext>
          </a:extLst>
        </xdr:cNvPr>
        <xdr:cNvSpPr>
          <a:spLocks noChangeShapeType="1"/>
        </xdr:cNvSpPr>
      </xdr:nvSpPr>
      <xdr:spPr bwMode="auto">
        <a:xfrm>
          <a:off x="3429000" y="15694025"/>
          <a:ext cx="40957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200025</xdr:colOff>
      <xdr:row>15</xdr:row>
      <xdr:rowOff>238125</xdr:rowOff>
    </xdr:from>
    <xdr:to>
      <xdr:col>8</xdr:col>
      <xdr:colOff>581025</xdr:colOff>
      <xdr:row>15</xdr:row>
      <xdr:rowOff>238125</xdr:rowOff>
    </xdr:to>
    <xdr:sp macro="" textlink="">
      <xdr:nvSpPr>
        <xdr:cNvPr id="25190" name="Line 7">
          <a:extLst>
            <a:ext uri="{FF2B5EF4-FFF2-40B4-BE49-F238E27FC236}">
              <a16:creationId xmlns:a16="http://schemas.microsoft.com/office/drawing/2014/main" id="{00000000-0008-0000-0300-000066620000}"/>
            </a:ext>
          </a:extLst>
        </xdr:cNvPr>
        <xdr:cNvSpPr>
          <a:spLocks noChangeShapeType="1"/>
        </xdr:cNvSpPr>
      </xdr:nvSpPr>
      <xdr:spPr bwMode="auto">
        <a:xfrm>
          <a:off x="7439025" y="15697200"/>
          <a:ext cx="38100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85725</xdr:colOff>
      <xdr:row>15</xdr:row>
      <xdr:rowOff>238125</xdr:rowOff>
    </xdr:from>
    <xdr:to>
      <xdr:col>9</xdr:col>
      <xdr:colOff>619125</xdr:colOff>
      <xdr:row>15</xdr:row>
      <xdr:rowOff>238125</xdr:rowOff>
    </xdr:to>
    <xdr:sp macro="" textlink="">
      <xdr:nvSpPr>
        <xdr:cNvPr id="25191" name="Line 8">
          <a:extLst>
            <a:ext uri="{FF2B5EF4-FFF2-40B4-BE49-F238E27FC236}">
              <a16:creationId xmlns:a16="http://schemas.microsoft.com/office/drawing/2014/main" id="{00000000-0008-0000-0300-000067620000}"/>
            </a:ext>
          </a:extLst>
        </xdr:cNvPr>
        <xdr:cNvSpPr>
          <a:spLocks noChangeShapeType="1"/>
        </xdr:cNvSpPr>
      </xdr:nvSpPr>
      <xdr:spPr bwMode="auto">
        <a:xfrm>
          <a:off x="8153400" y="15697200"/>
          <a:ext cx="533400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257174</xdr:colOff>
      <xdr:row>15</xdr:row>
      <xdr:rowOff>238125</xdr:rowOff>
    </xdr:from>
    <xdr:to>
      <xdr:col>11</xdr:col>
      <xdr:colOff>819149</xdr:colOff>
      <xdr:row>15</xdr:row>
      <xdr:rowOff>238125</xdr:rowOff>
    </xdr:to>
    <xdr:sp macro="" textlink="">
      <xdr:nvSpPr>
        <xdr:cNvPr id="25192" name="Line 9">
          <a:extLst>
            <a:ext uri="{FF2B5EF4-FFF2-40B4-BE49-F238E27FC236}">
              <a16:creationId xmlns:a16="http://schemas.microsoft.com/office/drawing/2014/main" id="{00000000-0008-0000-0300-000068620000}"/>
            </a:ext>
          </a:extLst>
        </xdr:cNvPr>
        <xdr:cNvSpPr>
          <a:spLocks noChangeShapeType="1"/>
        </xdr:cNvSpPr>
      </xdr:nvSpPr>
      <xdr:spPr bwMode="auto">
        <a:xfrm>
          <a:off x="9372599" y="15697200"/>
          <a:ext cx="561975" cy="0"/>
        </a:xfrm>
        <a:prstGeom prst="line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69850</xdr:colOff>
      <xdr:row>0</xdr:row>
      <xdr:rowOff>31750</xdr:rowOff>
    </xdr:from>
    <xdr:to>
      <xdr:col>2</xdr:col>
      <xdr:colOff>88900</xdr:colOff>
      <xdr:row>3</xdr:row>
      <xdr:rowOff>57150</xdr:rowOff>
    </xdr:to>
    <xdr:pic>
      <xdr:nvPicPr>
        <xdr:cNvPr id="29665" name="Picture 1">
          <a:extLst>
            <a:ext uri="{FF2B5EF4-FFF2-40B4-BE49-F238E27FC236}">
              <a16:creationId xmlns:a16="http://schemas.microsoft.com/office/drawing/2014/main" id="{00000000-0008-0000-0400-0000E17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" y="31750"/>
          <a:ext cx="996950" cy="869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273050</xdr:colOff>
      <xdr:row>4</xdr:row>
      <xdr:rowOff>219075</xdr:rowOff>
    </xdr:from>
    <xdr:to>
      <xdr:col>4</xdr:col>
      <xdr:colOff>438150</xdr:colOff>
      <xdr:row>4</xdr:row>
      <xdr:rowOff>219075</xdr:rowOff>
    </xdr:to>
    <xdr:sp macro="" textlink="">
      <xdr:nvSpPr>
        <xdr:cNvPr id="29666" name="Line 2">
          <a:extLst>
            <a:ext uri="{FF2B5EF4-FFF2-40B4-BE49-F238E27FC236}">
              <a16:creationId xmlns:a16="http://schemas.microsoft.com/office/drawing/2014/main" id="{00000000-0008-0000-0400-0000E2730000}"/>
            </a:ext>
          </a:extLst>
        </xdr:cNvPr>
        <xdr:cNvSpPr>
          <a:spLocks noChangeShapeType="1"/>
        </xdr:cNvSpPr>
      </xdr:nvSpPr>
      <xdr:spPr bwMode="auto">
        <a:xfrm>
          <a:off x="720725" y="1343025"/>
          <a:ext cx="1765300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692150</xdr:colOff>
      <xdr:row>4</xdr:row>
      <xdr:rowOff>206375</xdr:rowOff>
    </xdr:from>
    <xdr:to>
      <xdr:col>5</xdr:col>
      <xdr:colOff>425450</xdr:colOff>
      <xdr:row>4</xdr:row>
      <xdr:rowOff>206375</xdr:rowOff>
    </xdr:to>
    <xdr:sp macro="" textlink="">
      <xdr:nvSpPr>
        <xdr:cNvPr id="29667" name="Line 3">
          <a:extLst>
            <a:ext uri="{FF2B5EF4-FFF2-40B4-BE49-F238E27FC236}">
              <a16:creationId xmlns:a16="http://schemas.microsoft.com/office/drawing/2014/main" id="{00000000-0008-0000-0400-0000E3730000}"/>
            </a:ext>
          </a:extLst>
        </xdr:cNvPr>
        <xdr:cNvSpPr>
          <a:spLocks noChangeShapeType="1"/>
        </xdr:cNvSpPr>
      </xdr:nvSpPr>
      <xdr:spPr bwMode="auto">
        <a:xfrm>
          <a:off x="2740025" y="1330325"/>
          <a:ext cx="704850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406400</xdr:colOff>
      <xdr:row>4</xdr:row>
      <xdr:rowOff>219075</xdr:rowOff>
    </xdr:from>
    <xdr:to>
      <xdr:col>8</xdr:col>
      <xdr:colOff>406400</xdr:colOff>
      <xdr:row>4</xdr:row>
      <xdr:rowOff>219075</xdr:rowOff>
    </xdr:to>
    <xdr:sp macro="" textlink="">
      <xdr:nvSpPr>
        <xdr:cNvPr id="29668" name="Line 4">
          <a:extLst>
            <a:ext uri="{FF2B5EF4-FFF2-40B4-BE49-F238E27FC236}">
              <a16:creationId xmlns:a16="http://schemas.microsoft.com/office/drawing/2014/main" id="{00000000-0008-0000-0400-0000E4730000}"/>
            </a:ext>
          </a:extLst>
        </xdr:cNvPr>
        <xdr:cNvSpPr>
          <a:spLocks noChangeShapeType="1"/>
        </xdr:cNvSpPr>
      </xdr:nvSpPr>
      <xdr:spPr bwMode="auto">
        <a:xfrm>
          <a:off x="4902200" y="1343025"/>
          <a:ext cx="1333500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463550</xdr:colOff>
      <xdr:row>5</xdr:row>
      <xdr:rowOff>219075</xdr:rowOff>
    </xdr:from>
    <xdr:to>
      <xdr:col>5</xdr:col>
      <xdr:colOff>419100</xdr:colOff>
      <xdr:row>5</xdr:row>
      <xdr:rowOff>219075</xdr:rowOff>
    </xdr:to>
    <xdr:sp macro="" textlink="">
      <xdr:nvSpPr>
        <xdr:cNvPr id="29669" name="Line 5">
          <a:extLst>
            <a:ext uri="{FF2B5EF4-FFF2-40B4-BE49-F238E27FC236}">
              <a16:creationId xmlns:a16="http://schemas.microsoft.com/office/drawing/2014/main" id="{00000000-0008-0000-0400-0000E5730000}"/>
            </a:ext>
          </a:extLst>
        </xdr:cNvPr>
        <xdr:cNvSpPr>
          <a:spLocks noChangeShapeType="1"/>
        </xdr:cNvSpPr>
      </xdr:nvSpPr>
      <xdr:spPr bwMode="auto">
        <a:xfrm>
          <a:off x="911225" y="1600200"/>
          <a:ext cx="2527300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482600</xdr:colOff>
      <xdr:row>5</xdr:row>
      <xdr:rowOff>219075</xdr:rowOff>
    </xdr:from>
    <xdr:to>
      <xdr:col>8</xdr:col>
      <xdr:colOff>406400</xdr:colOff>
      <xdr:row>5</xdr:row>
      <xdr:rowOff>219075</xdr:rowOff>
    </xdr:to>
    <xdr:sp macro="" textlink="">
      <xdr:nvSpPr>
        <xdr:cNvPr id="29670" name="Line 6">
          <a:extLst>
            <a:ext uri="{FF2B5EF4-FFF2-40B4-BE49-F238E27FC236}">
              <a16:creationId xmlns:a16="http://schemas.microsoft.com/office/drawing/2014/main" id="{00000000-0008-0000-0400-0000E6730000}"/>
            </a:ext>
          </a:extLst>
        </xdr:cNvPr>
        <xdr:cNvSpPr>
          <a:spLocks noChangeShapeType="1"/>
        </xdr:cNvSpPr>
      </xdr:nvSpPr>
      <xdr:spPr bwMode="auto">
        <a:xfrm flipV="1">
          <a:off x="4978400" y="1600200"/>
          <a:ext cx="1257300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387350</xdr:colOff>
      <xdr:row>5</xdr:row>
      <xdr:rowOff>219075</xdr:rowOff>
    </xdr:from>
    <xdr:to>
      <xdr:col>10</xdr:col>
      <xdr:colOff>590550</xdr:colOff>
      <xdr:row>5</xdr:row>
      <xdr:rowOff>219075</xdr:rowOff>
    </xdr:to>
    <xdr:sp macro="" textlink="">
      <xdr:nvSpPr>
        <xdr:cNvPr id="29671" name="Line 7">
          <a:extLst>
            <a:ext uri="{FF2B5EF4-FFF2-40B4-BE49-F238E27FC236}">
              <a16:creationId xmlns:a16="http://schemas.microsoft.com/office/drawing/2014/main" id="{00000000-0008-0000-0400-0000E7730000}"/>
            </a:ext>
          </a:extLst>
        </xdr:cNvPr>
        <xdr:cNvSpPr>
          <a:spLocks noChangeShapeType="1"/>
        </xdr:cNvSpPr>
      </xdr:nvSpPr>
      <xdr:spPr bwMode="auto">
        <a:xfrm>
          <a:off x="6931025" y="1600200"/>
          <a:ext cx="1003300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311150</xdr:colOff>
      <xdr:row>5</xdr:row>
      <xdr:rowOff>206375</xdr:rowOff>
    </xdr:from>
    <xdr:to>
      <xdr:col>12</xdr:col>
      <xdr:colOff>330200</xdr:colOff>
      <xdr:row>5</xdr:row>
      <xdr:rowOff>219075</xdr:rowOff>
    </xdr:to>
    <xdr:sp macro="" textlink="">
      <xdr:nvSpPr>
        <xdr:cNvPr id="29672" name="Line 8">
          <a:extLst>
            <a:ext uri="{FF2B5EF4-FFF2-40B4-BE49-F238E27FC236}">
              <a16:creationId xmlns:a16="http://schemas.microsoft.com/office/drawing/2014/main" id="{00000000-0008-0000-0400-0000E8730000}"/>
            </a:ext>
          </a:extLst>
        </xdr:cNvPr>
        <xdr:cNvSpPr>
          <a:spLocks noChangeShapeType="1"/>
        </xdr:cNvSpPr>
      </xdr:nvSpPr>
      <xdr:spPr bwMode="auto">
        <a:xfrm flipV="1">
          <a:off x="8350250" y="1587500"/>
          <a:ext cx="819150" cy="1270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19</xdr:row>
      <xdr:rowOff>0</xdr:rowOff>
    </xdr:from>
    <xdr:to>
      <xdr:col>13</xdr:col>
      <xdr:colOff>0</xdr:colOff>
      <xdr:row>23</xdr:row>
      <xdr:rowOff>107950</xdr:rowOff>
    </xdr:to>
    <xdr:grpSp>
      <xdr:nvGrpSpPr>
        <xdr:cNvPr id="29673" name="Group 9">
          <a:extLst>
            <a:ext uri="{FF2B5EF4-FFF2-40B4-BE49-F238E27FC236}">
              <a16:creationId xmlns:a16="http://schemas.microsoft.com/office/drawing/2014/main" id="{00000000-0008-0000-0400-0000E9730000}"/>
            </a:ext>
          </a:extLst>
        </xdr:cNvPr>
        <xdr:cNvGrpSpPr>
          <a:grpSpLocks/>
        </xdr:cNvGrpSpPr>
      </xdr:nvGrpSpPr>
      <xdr:grpSpPr bwMode="auto">
        <a:xfrm>
          <a:off x="0" y="5651500"/>
          <a:ext cx="9734550" cy="1327150"/>
          <a:chOff x="0" y="593"/>
          <a:chExt cx="997" cy="153"/>
        </a:xfrm>
      </xdr:grpSpPr>
      <xdr:grpSp>
        <xdr:nvGrpSpPr>
          <xdr:cNvPr id="29676" name="Group 10">
            <a:extLst>
              <a:ext uri="{FF2B5EF4-FFF2-40B4-BE49-F238E27FC236}">
                <a16:creationId xmlns:a16="http://schemas.microsoft.com/office/drawing/2014/main" id="{00000000-0008-0000-0400-0000EC730000}"/>
              </a:ext>
            </a:extLst>
          </xdr:cNvPr>
          <xdr:cNvGrpSpPr>
            <a:grpSpLocks/>
          </xdr:cNvGrpSpPr>
        </xdr:nvGrpSpPr>
        <xdr:grpSpPr bwMode="auto">
          <a:xfrm>
            <a:off x="0" y="593"/>
            <a:ext cx="997" cy="153"/>
            <a:chOff x="0" y="593"/>
            <a:chExt cx="997" cy="153"/>
          </a:xfrm>
        </xdr:grpSpPr>
        <xdr:grpSp>
          <xdr:nvGrpSpPr>
            <xdr:cNvPr id="31757" name="Group 11">
              <a:extLst>
                <a:ext uri="{FF2B5EF4-FFF2-40B4-BE49-F238E27FC236}">
                  <a16:creationId xmlns:a16="http://schemas.microsoft.com/office/drawing/2014/main" id="{00000000-0008-0000-0400-00000D7C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0" y="593"/>
              <a:ext cx="252" cy="153"/>
              <a:chOff x="0" y="593"/>
              <a:chExt cx="212" cy="153"/>
            </a:xfrm>
          </xdr:grpSpPr>
          <xdr:sp macro="" textlink="">
            <xdr:nvSpPr>
              <xdr:cNvPr id="54" name="Text Box 12">
                <a:extLst>
                  <a:ext uri="{FF2B5EF4-FFF2-40B4-BE49-F238E27FC236}">
                    <a16:creationId xmlns:a16="http://schemas.microsoft.com/office/drawing/2014/main" id="{00000000-0008-0000-0400-00003600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0" y="593"/>
                <a:ext cx="212" cy="31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  <xdr:txBody>
              <a:bodyPr vertOverflow="clip" wrap="square" lIns="27432" tIns="50292" rIns="27432" bIns="0" anchor="t" upright="1"/>
              <a:lstStyle/>
              <a:p>
                <a:pPr algn="ctr" rtl="0">
                  <a:defRPr sz="1000"/>
                </a:pPr>
                <a:r>
                  <a:rPr lang="th-TH" sz="1600" b="1" i="0" u="none" strike="noStrike" baseline="0">
                    <a:solidFill>
                      <a:srgbClr val="000000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ผู้จัดทำ</a:t>
                </a:r>
              </a:p>
            </xdr:txBody>
          </xdr:sp>
          <xdr:sp macro="" textlink="">
            <xdr:nvSpPr>
              <xdr:cNvPr id="31768" name="Text Box 13">
                <a:extLst>
                  <a:ext uri="{FF2B5EF4-FFF2-40B4-BE49-F238E27FC236}">
                    <a16:creationId xmlns:a16="http://schemas.microsoft.com/office/drawing/2014/main" id="{00000000-0008-0000-0400-0000187C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0" y="624"/>
                <a:ext cx="212" cy="122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</xdr:grpSp>
        <xdr:grpSp>
          <xdr:nvGrpSpPr>
            <xdr:cNvPr id="31758" name="Group 14">
              <a:extLst>
                <a:ext uri="{FF2B5EF4-FFF2-40B4-BE49-F238E27FC236}">
                  <a16:creationId xmlns:a16="http://schemas.microsoft.com/office/drawing/2014/main" id="{00000000-0008-0000-0400-00000E7C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52" y="593"/>
              <a:ext cx="252" cy="153"/>
              <a:chOff x="0" y="593"/>
              <a:chExt cx="212" cy="153"/>
            </a:xfrm>
          </xdr:grpSpPr>
          <xdr:sp macro="" textlink="">
            <xdr:nvSpPr>
              <xdr:cNvPr id="52" name="Text Box 15">
                <a:extLst>
                  <a:ext uri="{FF2B5EF4-FFF2-40B4-BE49-F238E27FC236}">
                    <a16:creationId xmlns:a16="http://schemas.microsoft.com/office/drawing/2014/main" id="{00000000-0008-0000-0400-00003400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0" y="593"/>
                <a:ext cx="213" cy="31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  <xdr:txBody>
              <a:bodyPr vertOverflow="clip" wrap="square" lIns="27432" tIns="50292" rIns="27432" bIns="0" anchor="t" upright="1"/>
              <a:lstStyle/>
              <a:p>
                <a:pPr algn="ctr" rtl="0">
                  <a:defRPr sz="1000"/>
                </a:pPr>
                <a:r>
                  <a:rPr lang="th-TH" sz="1600" b="1" i="0" u="none" strike="noStrike" baseline="0">
                    <a:solidFill>
                      <a:srgbClr val="000000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ผู้ตรวจสอบ</a:t>
                </a:r>
              </a:p>
            </xdr:txBody>
          </xdr:sp>
          <xdr:sp macro="" textlink="">
            <xdr:nvSpPr>
              <xdr:cNvPr id="31766" name="Text Box 16">
                <a:extLst>
                  <a:ext uri="{FF2B5EF4-FFF2-40B4-BE49-F238E27FC236}">
                    <a16:creationId xmlns:a16="http://schemas.microsoft.com/office/drawing/2014/main" id="{00000000-0008-0000-0400-0000167C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0" y="624"/>
                <a:ext cx="212" cy="122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</xdr:grpSp>
        <xdr:grpSp>
          <xdr:nvGrpSpPr>
            <xdr:cNvPr id="31759" name="Group 17">
              <a:extLst>
                <a:ext uri="{FF2B5EF4-FFF2-40B4-BE49-F238E27FC236}">
                  <a16:creationId xmlns:a16="http://schemas.microsoft.com/office/drawing/2014/main" id="{00000000-0008-0000-0400-00000F7C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03" y="593"/>
              <a:ext cx="252" cy="153"/>
              <a:chOff x="0" y="593"/>
              <a:chExt cx="212" cy="153"/>
            </a:xfrm>
          </xdr:grpSpPr>
          <xdr:sp macro="" textlink="">
            <xdr:nvSpPr>
              <xdr:cNvPr id="50" name="Text Box 18">
                <a:extLst>
                  <a:ext uri="{FF2B5EF4-FFF2-40B4-BE49-F238E27FC236}">
                    <a16:creationId xmlns:a16="http://schemas.microsoft.com/office/drawing/2014/main" id="{00000000-0008-0000-0400-00003200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0" y="593"/>
                <a:ext cx="211" cy="31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  <xdr:txBody>
              <a:bodyPr vertOverflow="clip" wrap="square" lIns="27432" tIns="50292" rIns="27432" bIns="0" anchor="t" upright="1"/>
              <a:lstStyle/>
              <a:p>
                <a:pPr algn="ctr" rtl="0">
                  <a:defRPr sz="1000"/>
                </a:pPr>
                <a:r>
                  <a:rPr lang="th-TH" sz="1600" b="1" i="0" u="none" strike="noStrike" baseline="0">
                    <a:solidFill>
                      <a:srgbClr val="000000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ผู้อนุมัติ</a:t>
                </a:r>
              </a:p>
            </xdr:txBody>
          </xdr:sp>
          <xdr:sp macro="" textlink="">
            <xdr:nvSpPr>
              <xdr:cNvPr id="31764" name="Text Box 19">
                <a:extLst>
                  <a:ext uri="{FF2B5EF4-FFF2-40B4-BE49-F238E27FC236}">
                    <a16:creationId xmlns:a16="http://schemas.microsoft.com/office/drawing/2014/main" id="{00000000-0008-0000-0400-0000147C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0" y="624"/>
                <a:ext cx="212" cy="122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</xdr:grpSp>
        <xdr:grpSp>
          <xdr:nvGrpSpPr>
            <xdr:cNvPr id="31760" name="Group 20">
              <a:extLst>
                <a:ext uri="{FF2B5EF4-FFF2-40B4-BE49-F238E27FC236}">
                  <a16:creationId xmlns:a16="http://schemas.microsoft.com/office/drawing/2014/main" id="{00000000-0008-0000-0400-0000107C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755" y="593"/>
              <a:ext cx="242" cy="153"/>
              <a:chOff x="0" y="593"/>
              <a:chExt cx="212" cy="153"/>
            </a:xfrm>
          </xdr:grpSpPr>
          <xdr:sp macro="" textlink="">
            <xdr:nvSpPr>
              <xdr:cNvPr id="48" name="Text Box 21">
                <a:extLst>
                  <a:ext uri="{FF2B5EF4-FFF2-40B4-BE49-F238E27FC236}">
                    <a16:creationId xmlns:a16="http://schemas.microsoft.com/office/drawing/2014/main" id="{00000000-0008-0000-0400-00003000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0" y="593"/>
                <a:ext cx="212" cy="31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  <xdr:txBody>
              <a:bodyPr vertOverflow="clip" wrap="square" lIns="27432" tIns="50292" rIns="27432" bIns="0" anchor="t" upright="1"/>
              <a:lstStyle/>
              <a:p>
                <a:pPr algn="ctr" rtl="0">
                  <a:defRPr sz="1000"/>
                </a:pPr>
                <a:r>
                  <a:rPr lang="th-TH" sz="1600" b="1" i="0" u="none" strike="noStrike" baseline="0">
                    <a:solidFill>
                      <a:srgbClr val="000000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ผู้บันทึก</a:t>
                </a:r>
              </a:p>
            </xdr:txBody>
          </xdr:sp>
          <xdr:sp macro="" textlink="">
            <xdr:nvSpPr>
              <xdr:cNvPr id="31762" name="Text Box 22">
                <a:extLst>
                  <a:ext uri="{FF2B5EF4-FFF2-40B4-BE49-F238E27FC236}">
                    <a16:creationId xmlns:a16="http://schemas.microsoft.com/office/drawing/2014/main" id="{00000000-0008-0000-0400-0000127C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0" y="624"/>
                <a:ext cx="212" cy="122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</xdr:spPr>
          </xdr:sp>
        </xdr:grpSp>
      </xdr:grpSp>
      <xdr:grpSp>
        <xdr:nvGrpSpPr>
          <xdr:cNvPr id="29677" name="Group 23">
            <a:extLst>
              <a:ext uri="{FF2B5EF4-FFF2-40B4-BE49-F238E27FC236}">
                <a16:creationId xmlns:a16="http://schemas.microsoft.com/office/drawing/2014/main" id="{00000000-0008-0000-0400-0000ED730000}"/>
              </a:ext>
            </a:extLst>
          </xdr:cNvPr>
          <xdr:cNvGrpSpPr>
            <a:grpSpLocks/>
          </xdr:cNvGrpSpPr>
        </xdr:nvGrpSpPr>
        <xdr:grpSpPr bwMode="auto">
          <a:xfrm>
            <a:off x="27" y="683"/>
            <a:ext cx="196" cy="60"/>
            <a:chOff x="27" y="683"/>
            <a:chExt cx="196" cy="60"/>
          </a:xfrm>
        </xdr:grpSpPr>
        <xdr:sp macro="" textlink="">
          <xdr:nvSpPr>
            <xdr:cNvPr id="31750" name="Line 24">
              <a:extLst>
                <a:ext uri="{FF2B5EF4-FFF2-40B4-BE49-F238E27FC236}">
                  <a16:creationId xmlns:a16="http://schemas.microsoft.com/office/drawing/2014/main" id="{00000000-0008-0000-0400-0000067C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7" y="683"/>
              <a:ext cx="196" cy="0"/>
            </a:xfrm>
            <a:prstGeom prst="line">
              <a:avLst/>
            </a:prstGeom>
            <a:noFill/>
            <a:ln w="9525" cap="rnd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grpSp>
          <xdr:nvGrpSpPr>
            <xdr:cNvPr id="31751" name="Group 25">
              <a:extLst>
                <a:ext uri="{FF2B5EF4-FFF2-40B4-BE49-F238E27FC236}">
                  <a16:creationId xmlns:a16="http://schemas.microsoft.com/office/drawing/2014/main" id="{00000000-0008-0000-0400-0000077C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3" y="698"/>
              <a:ext cx="181" cy="15"/>
              <a:chOff x="32" y="701"/>
              <a:chExt cx="181" cy="15"/>
            </a:xfrm>
          </xdr:grpSpPr>
          <xdr:sp macro="" textlink="">
            <xdr:nvSpPr>
              <xdr:cNvPr id="31755" name="Line 26">
                <a:extLst>
                  <a:ext uri="{FF2B5EF4-FFF2-40B4-BE49-F238E27FC236}">
                    <a16:creationId xmlns:a16="http://schemas.microsoft.com/office/drawing/2014/main" id="{00000000-0008-0000-0400-00000B7C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37" y="716"/>
                <a:ext cx="173" cy="0"/>
              </a:xfrm>
              <a:prstGeom prst="line">
                <a:avLst/>
              </a:prstGeom>
              <a:noFill/>
              <a:ln w="9525" cap="rnd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31756" name="AutoShape 27">
                <a:extLst>
                  <a:ext uri="{FF2B5EF4-FFF2-40B4-BE49-F238E27FC236}">
                    <a16:creationId xmlns:a16="http://schemas.microsoft.com/office/drawing/2014/main" id="{00000000-0008-0000-0400-00000C7C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2" y="701"/>
                <a:ext cx="181" cy="13"/>
              </a:xfrm>
              <a:prstGeom prst="bracketPair">
                <a:avLst>
                  <a:gd name="adj" fmla="val 16667"/>
                </a:avLst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FFFFFF" mc:Ignorable="a14" a14:legacySpreadsheetColorIndex="65"/>
                    </a:solidFill>
                  </a14:hiddenFill>
                </a:ext>
              </a:extLst>
            </xdr:spPr>
          </xdr:sp>
        </xdr:grpSp>
        <xdr:sp macro="" textlink="">
          <xdr:nvSpPr>
            <xdr:cNvPr id="31752" name="Line 28">
              <a:extLst>
                <a:ext uri="{FF2B5EF4-FFF2-40B4-BE49-F238E27FC236}">
                  <a16:creationId xmlns:a16="http://schemas.microsoft.com/office/drawing/2014/main" id="{00000000-0008-0000-0400-0000087C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7" y="743"/>
              <a:ext cx="172" cy="0"/>
            </a:xfrm>
            <a:prstGeom prst="line">
              <a:avLst/>
            </a:prstGeom>
            <a:noFill/>
            <a:ln w="9525" cap="rnd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1753" name="Line 29">
              <a:extLst>
                <a:ext uri="{FF2B5EF4-FFF2-40B4-BE49-F238E27FC236}">
                  <a16:creationId xmlns:a16="http://schemas.microsoft.com/office/drawing/2014/main" id="{00000000-0008-0000-0400-0000097C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8" y="731"/>
              <a:ext cx="6" cy="11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1754" name="Line 30">
              <a:extLst>
                <a:ext uri="{FF2B5EF4-FFF2-40B4-BE49-F238E27FC236}">
                  <a16:creationId xmlns:a16="http://schemas.microsoft.com/office/drawing/2014/main" id="{00000000-0008-0000-0400-00000A7C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51" y="731"/>
              <a:ext cx="6" cy="11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29678" name="Group 31">
            <a:extLst>
              <a:ext uri="{FF2B5EF4-FFF2-40B4-BE49-F238E27FC236}">
                <a16:creationId xmlns:a16="http://schemas.microsoft.com/office/drawing/2014/main" id="{00000000-0008-0000-0400-0000EE730000}"/>
              </a:ext>
            </a:extLst>
          </xdr:cNvPr>
          <xdr:cNvGrpSpPr>
            <a:grpSpLocks/>
          </xdr:cNvGrpSpPr>
        </xdr:nvGrpSpPr>
        <xdr:grpSpPr bwMode="auto">
          <a:xfrm>
            <a:off x="278" y="683"/>
            <a:ext cx="196" cy="60"/>
            <a:chOff x="27" y="683"/>
            <a:chExt cx="196" cy="60"/>
          </a:xfrm>
        </xdr:grpSpPr>
        <xdr:sp macro="" textlink="">
          <xdr:nvSpPr>
            <xdr:cNvPr id="29695" name="Line 32">
              <a:extLst>
                <a:ext uri="{FF2B5EF4-FFF2-40B4-BE49-F238E27FC236}">
                  <a16:creationId xmlns:a16="http://schemas.microsoft.com/office/drawing/2014/main" id="{00000000-0008-0000-0400-0000FF73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7" y="683"/>
              <a:ext cx="196" cy="0"/>
            </a:xfrm>
            <a:prstGeom prst="line">
              <a:avLst/>
            </a:prstGeom>
            <a:noFill/>
            <a:ln w="9525" cap="rnd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grpSp>
          <xdr:nvGrpSpPr>
            <xdr:cNvPr id="31744" name="Group 33">
              <a:extLst>
                <a:ext uri="{FF2B5EF4-FFF2-40B4-BE49-F238E27FC236}">
                  <a16:creationId xmlns:a16="http://schemas.microsoft.com/office/drawing/2014/main" id="{00000000-0008-0000-0400-0000007C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3" y="698"/>
              <a:ext cx="181" cy="15"/>
              <a:chOff x="32" y="701"/>
              <a:chExt cx="181" cy="15"/>
            </a:xfrm>
          </xdr:grpSpPr>
          <xdr:sp macro="" textlink="">
            <xdr:nvSpPr>
              <xdr:cNvPr id="31748" name="Line 34">
                <a:extLst>
                  <a:ext uri="{FF2B5EF4-FFF2-40B4-BE49-F238E27FC236}">
                    <a16:creationId xmlns:a16="http://schemas.microsoft.com/office/drawing/2014/main" id="{00000000-0008-0000-0400-0000047C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37" y="716"/>
                <a:ext cx="173" cy="0"/>
              </a:xfrm>
              <a:prstGeom prst="line">
                <a:avLst/>
              </a:prstGeom>
              <a:noFill/>
              <a:ln w="9525" cap="rnd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31749" name="AutoShape 35">
                <a:extLst>
                  <a:ext uri="{FF2B5EF4-FFF2-40B4-BE49-F238E27FC236}">
                    <a16:creationId xmlns:a16="http://schemas.microsoft.com/office/drawing/2014/main" id="{00000000-0008-0000-0400-0000057C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2" y="701"/>
                <a:ext cx="181" cy="13"/>
              </a:xfrm>
              <a:prstGeom prst="bracketPair">
                <a:avLst>
                  <a:gd name="adj" fmla="val 16667"/>
                </a:avLst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FFFFFF" mc:Ignorable="a14" a14:legacySpreadsheetColorIndex="65"/>
                    </a:solidFill>
                  </a14:hiddenFill>
                </a:ext>
              </a:extLst>
            </xdr:spPr>
          </xdr:sp>
        </xdr:grpSp>
        <xdr:sp macro="" textlink="">
          <xdr:nvSpPr>
            <xdr:cNvPr id="31745" name="Line 36">
              <a:extLst>
                <a:ext uri="{FF2B5EF4-FFF2-40B4-BE49-F238E27FC236}">
                  <a16:creationId xmlns:a16="http://schemas.microsoft.com/office/drawing/2014/main" id="{00000000-0008-0000-0400-0000017C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7" y="743"/>
              <a:ext cx="172" cy="0"/>
            </a:xfrm>
            <a:prstGeom prst="line">
              <a:avLst/>
            </a:prstGeom>
            <a:noFill/>
            <a:ln w="9525" cap="rnd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1746" name="Line 37">
              <a:extLst>
                <a:ext uri="{FF2B5EF4-FFF2-40B4-BE49-F238E27FC236}">
                  <a16:creationId xmlns:a16="http://schemas.microsoft.com/office/drawing/2014/main" id="{00000000-0008-0000-0400-0000027C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8" y="731"/>
              <a:ext cx="6" cy="11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1747" name="Line 38">
              <a:extLst>
                <a:ext uri="{FF2B5EF4-FFF2-40B4-BE49-F238E27FC236}">
                  <a16:creationId xmlns:a16="http://schemas.microsoft.com/office/drawing/2014/main" id="{00000000-0008-0000-0400-0000037C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51" y="731"/>
              <a:ext cx="6" cy="11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29679" name="Group 39">
            <a:extLst>
              <a:ext uri="{FF2B5EF4-FFF2-40B4-BE49-F238E27FC236}">
                <a16:creationId xmlns:a16="http://schemas.microsoft.com/office/drawing/2014/main" id="{00000000-0008-0000-0400-0000EF730000}"/>
              </a:ext>
            </a:extLst>
          </xdr:cNvPr>
          <xdr:cNvGrpSpPr>
            <a:grpSpLocks/>
          </xdr:cNvGrpSpPr>
        </xdr:nvGrpSpPr>
        <xdr:grpSpPr bwMode="auto">
          <a:xfrm>
            <a:off x="532" y="683"/>
            <a:ext cx="196" cy="60"/>
            <a:chOff x="27" y="683"/>
            <a:chExt cx="196" cy="60"/>
          </a:xfrm>
        </xdr:grpSpPr>
        <xdr:sp macro="" textlink="">
          <xdr:nvSpPr>
            <xdr:cNvPr id="29688" name="Line 40">
              <a:extLst>
                <a:ext uri="{FF2B5EF4-FFF2-40B4-BE49-F238E27FC236}">
                  <a16:creationId xmlns:a16="http://schemas.microsoft.com/office/drawing/2014/main" id="{00000000-0008-0000-0400-0000F873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7" y="683"/>
              <a:ext cx="196" cy="0"/>
            </a:xfrm>
            <a:prstGeom prst="line">
              <a:avLst/>
            </a:prstGeom>
            <a:noFill/>
            <a:ln w="9525" cap="rnd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grpSp>
          <xdr:nvGrpSpPr>
            <xdr:cNvPr id="29689" name="Group 41">
              <a:extLst>
                <a:ext uri="{FF2B5EF4-FFF2-40B4-BE49-F238E27FC236}">
                  <a16:creationId xmlns:a16="http://schemas.microsoft.com/office/drawing/2014/main" id="{00000000-0008-0000-0400-0000F973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3" y="698"/>
              <a:ext cx="181" cy="15"/>
              <a:chOff x="32" y="701"/>
              <a:chExt cx="181" cy="15"/>
            </a:xfrm>
          </xdr:grpSpPr>
          <xdr:sp macro="" textlink="">
            <xdr:nvSpPr>
              <xdr:cNvPr id="29693" name="Line 42">
                <a:extLst>
                  <a:ext uri="{FF2B5EF4-FFF2-40B4-BE49-F238E27FC236}">
                    <a16:creationId xmlns:a16="http://schemas.microsoft.com/office/drawing/2014/main" id="{00000000-0008-0000-0400-0000FD73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37" y="716"/>
                <a:ext cx="173" cy="0"/>
              </a:xfrm>
              <a:prstGeom prst="line">
                <a:avLst/>
              </a:prstGeom>
              <a:noFill/>
              <a:ln w="9525" cap="rnd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29694" name="AutoShape 43">
                <a:extLst>
                  <a:ext uri="{FF2B5EF4-FFF2-40B4-BE49-F238E27FC236}">
                    <a16:creationId xmlns:a16="http://schemas.microsoft.com/office/drawing/2014/main" id="{00000000-0008-0000-0400-0000FE7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2" y="701"/>
                <a:ext cx="181" cy="13"/>
              </a:xfrm>
              <a:prstGeom prst="bracketPair">
                <a:avLst>
                  <a:gd name="adj" fmla="val 16667"/>
                </a:avLst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FFFFFF" mc:Ignorable="a14" a14:legacySpreadsheetColorIndex="65"/>
                    </a:solidFill>
                  </a14:hiddenFill>
                </a:ext>
              </a:extLst>
            </xdr:spPr>
          </xdr:sp>
        </xdr:grpSp>
        <xdr:sp macro="" textlink="">
          <xdr:nvSpPr>
            <xdr:cNvPr id="29690" name="Line 44">
              <a:extLst>
                <a:ext uri="{FF2B5EF4-FFF2-40B4-BE49-F238E27FC236}">
                  <a16:creationId xmlns:a16="http://schemas.microsoft.com/office/drawing/2014/main" id="{00000000-0008-0000-0400-0000FA73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7" y="743"/>
              <a:ext cx="172" cy="0"/>
            </a:xfrm>
            <a:prstGeom prst="line">
              <a:avLst/>
            </a:prstGeom>
            <a:noFill/>
            <a:ln w="9525" cap="rnd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9691" name="Line 45">
              <a:extLst>
                <a:ext uri="{FF2B5EF4-FFF2-40B4-BE49-F238E27FC236}">
                  <a16:creationId xmlns:a16="http://schemas.microsoft.com/office/drawing/2014/main" id="{00000000-0008-0000-0400-0000FB73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8" y="731"/>
              <a:ext cx="6" cy="11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9692" name="Line 46">
              <a:extLst>
                <a:ext uri="{FF2B5EF4-FFF2-40B4-BE49-F238E27FC236}">
                  <a16:creationId xmlns:a16="http://schemas.microsoft.com/office/drawing/2014/main" id="{00000000-0008-0000-0400-0000FC73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51" y="731"/>
              <a:ext cx="6" cy="11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29680" name="Group 47">
            <a:extLst>
              <a:ext uri="{FF2B5EF4-FFF2-40B4-BE49-F238E27FC236}">
                <a16:creationId xmlns:a16="http://schemas.microsoft.com/office/drawing/2014/main" id="{00000000-0008-0000-0400-0000F0730000}"/>
              </a:ext>
            </a:extLst>
          </xdr:cNvPr>
          <xdr:cNvGrpSpPr>
            <a:grpSpLocks/>
          </xdr:cNvGrpSpPr>
        </xdr:nvGrpSpPr>
        <xdr:grpSpPr bwMode="auto">
          <a:xfrm>
            <a:off x="779" y="683"/>
            <a:ext cx="196" cy="60"/>
            <a:chOff x="27" y="683"/>
            <a:chExt cx="196" cy="60"/>
          </a:xfrm>
        </xdr:grpSpPr>
        <xdr:sp macro="" textlink="">
          <xdr:nvSpPr>
            <xdr:cNvPr id="29681" name="Line 48">
              <a:extLst>
                <a:ext uri="{FF2B5EF4-FFF2-40B4-BE49-F238E27FC236}">
                  <a16:creationId xmlns:a16="http://schemas.microsoft.com/office/drawing/2014/main" id="{00000000-0008-0000-0400-0000F173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7" y="683"/>
              <a:ext cx="196" cy="0"/>
            </a:xfrm>
            <a:prstGeom prst="line">
              <a:avLst/>
            </a:prstGeom>
            <a:noFill/>
            <a:ln w="9525" cap="rnd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grpSp>
          <xdr:nvGrpSpPr>
            <xdr:cNvPr id="29682" name="Group 49">
              <a:extLst>
                <a:ext uri="{FF2B5EF4-FFF2-40B4-BE49-F238E27FC236}">
                  <a16:creationId xmlns:a16="http://schemas.microsoft.com/office/drawing/2014/main" id="{00000000-0008-0000-0400-0000F273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3" y="698"/>
              <a:ext cx="181" cy="15"/>
              <a:chOff x="32" y="701"/>
              <a:chExt cx="181" cy="15"/>
            </a:xfrm>
          </xdr:grpSpPr>
          <xdr:sp macro="" textlink="">
            <xdr:nvSpPr>
              <xdr:cNvPr id="29686" name="Line 50">
                <a:extLst>
                  <a:ext uri="{FF2B5EF4-FFF2-40B4-BE49-F238E27FC236}">
                    <a16:creationId xmlns:a16="http://schemas.microsoft.com/office/drawing/2014/main" id="{00000000-0008-0000-0400-0000F673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37" y="716"/>
                <a:ext cx="173" cy="0"/>
              </a:xfrm>
              <a:prstGeom prst="line">
                <a:avLst/>
              </a:prstGeom>
              <a:noFill/>
              <a:ln w="9525" cap="rnd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29687" name="AutoShape 51">
                <a:extLst>
                  <a:ext uri="{FF2B5EF4-FFF2-40B4-BE49-F238E27FC236}">
                    <a16:creationId xmlns:a16="http://schemas.microsoft.com/office/drawing/2014/main" id="{00000000-0008-0000-0400-0000F77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2" y="701"/>
                <a:ext cx="181" cy="13"/>
              </a:xfrm>
              <a:prstGeom prst="bracketPair">
                <a:avLst>
                  <a:gd name="adj" fmla="val 16667"/>
                </a:avLst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FFFFFF" mc:Ignorable="a14" a14:legacySpreadsheetColorIndex="65"/>
                    </a:solidFill>
                  </a14:hiddenFill>
                </a:ext>
              </a:extLst>
            </xdr:spPr>
          </xdr:sp>
        </xdr:grpSp>
        <xdr:sp macro="" textlink="">
          <xdr:nvSpPr>
            <xdr:cNvPr id="29683" name="Line 52">
              <a:extLst>
                <a:ext uri="{FF2B5EF4-FFF2-40B4-BE49-F238E27FC236}">
                  <a16:creationId xmlns:a16="http://schemas.microsoft.com/office/drawing/2014/main" id="{00000000-0008-0000-0400-0000F373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7" y="743"/>
              <a:ext cx="172" cy="0"/>
            </a:xfrm>
            <a:prstGeom prst="line">
              <a:avLst/>
            </a:prstGeom>
            <a:noFill/>
            <a:ln w="9525" cap="rnd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9684" name="Line 53">
              <a:extLst>
                <a:ext uri="{FF2B5EF4-FFF2-40B4-BE49-F238E27FC236}">
                  <a16:creationId xmlns:a16="http://schemas.microsoft.com/office/drawing/2014/main" id="{00000000-0008-0000-0400-0000F473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8" y="731"/>
              <a:ext cx="6" cy="11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9685" name="Line 54">
              <a:extLst>
                <a:ext uri="{FF2B5EF4-FFF2-40B4-BE49-F238E27FC236}">
                  <a16:creationId xmlns:a16="http://schemas.microsoft.com/office/drawing/2014/main" id="{00000000-0008-0000-0400-0000F573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51" y="731"/>
              <a:ext cx="6" cy="11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  <xdr:twoCellAnchor>
    <xdr:from>
      <xdr:col>11</xdr:col>
      <xdr:colOff>482600</xdr:colOff>
      <xdr:row>4</xdr:row>
      <xdr:rowOff>206375</xdr:rowOff>
    </xdr:from>
    <xdr:to>
      <xdr:col>12</xdr:col>
      <xdr:colOff>615950</xdr:colOff>
      <xdr:row>4</xdr:row>
      <xdr:rowOff>206375</xdr:rowOff>
    </xdr:to>
    <xdr:sp macro="" textlink="">
      <xdr:nvSpPr>
        <xdr:cNvPr id="29674" name="Line 55">
          <a:extLst>
            <a:ext uri="{FF2B5EF4-FFF2-40B4-BE49-F238E27FC236}">
              <a16:creationId xmlns:a16="http://schemas.microsoft.com/office/drawing/2014/main" id="{00000000-0008-0000-0400-0000EA730000}"/>
            </a:ext>
          </a:extLst>
        </xdr:cNvPr>
        <xdr:cNvSpPr>
          <a:spLocks noChangeShapeType="1"/>
        </xdr:cNvSpPr>
      </xdr:nvSpPr>
      <xdr:spPr bwMode="auto">
        <a:xfrm flipV="1">
          <a:off x="8521700" y="1330325"/>
          <a:ext cx="933450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295275</xdr:colOff>
      <xdr:row>0</xdr:row>
      <xdr:rowOff>28575</xdr:rowOff>
    </xdr:from>
    <xdr:to>
      <xdr:col>12</xdr:col>
      <xdr:colOff>352786</xdr:colOff>
      <xdr:row>0</xdr:row>
      <xdr:rowOff>105430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SpPr txBox="1"/>
      </xdr:nvSpPr>
      <xdr:spPr>
        <a:xfrm>
          <a:off x="8496300" y="66675"/>
          <a:ext cx="923925" cy="247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th-TH" sz="1600" b="1">
              <a:latin typeface="TH SarabunPSK" panose="020B0500040200020003" pitchFamily="34" charset="-34"/>
              <a:cs typeface="TH SarabunPSK" panose="020B0500040200020003" pitchFamily="34" charset="-34"/>
            </a:rPr>
            <a:t>เอกสารแนบ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AEC86-F6B3-435D-874E-6AE7E2A5D20F}">
  <sheetPr codeName="Sheet2">
    <pageSetUpPr fitToPage="1"/>
  </sheetPr>
  <dimension ref="A1:Y67"/>
  <sheetViews>
    <sheetView view="pageBreakPreview" topLeftCell="A32" zoomScaleNormal="115" zoomScaleSheetLayoutView="110" workbookViewId="0">
      <selection activeCell="H24" sqref="H24:J24"/>
    </sheetView>
  </sheetViews>
  <sheetFormatPr defaultColWidth="9.33203125" defaultRowHeight="21" x14ac:dyDescent="0.7"/>
  <cols>
    <col min="1" max="1" width="5.109375" style="26" customWidth="1"/>
    <col min="2" max="2" width="8" style="26" customWidth="1"/>
    <col min="3" max="3" width="7.6640625" style="26" customWidth="1"/>
    <col min="4" max="5" width="4.33203125" style="26" customWidth="1"/>
    <col min="6" max="6" width="16.77734375" style="26" customWidth="1"/>
    <col min="7" max="7" width="4.6640625" style="26" customWidth="1"/>
    <col min="8" max="14" width="4.33203125" style="26" customWidth="1"/>
    <col min="15" max="15" width="4" style="26" customWidth="1"/>
    <col min="16" max="18" width="4.33203125" style="26" customWidth="1"/>
    <col min="19" max="19" width="5.109375" style="26" customWidth="1"/>
    <col min="20" max="20" width="12.77734375" style="26" customWidth="1"/>
    <col min="21" max="21" width="5.33203125" style="26" customWidth="1"/>
    <col min="22" max="42" width="8.77734375" style="26" customWidth="1"/>
    <col min="43" max="16384" width="9.33203125" style="26"/>
  </cols>
  <sheetData>
    <row r="1" spans="1:21" ht="21" customHeight="1" x14ac:dyDescent="0.8">
      <c r="A1" s="176"/>
      <c r="B1" s="176"/>
      <c r="C1" s="176"/>
      <c r="D1" s="176"/>
      <c r="E1" s="177" t="s">
        <v>26</v>
      </c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67" t="s">
        <v>57</v>
      </c>
      <c r="R1" s="167"/>
      <c r="S1" s="167"/>
      <c r="T1" s="167"/>
      <c r="U1" s="82"/>
    </row>
    <row r="2" spans="1:21" ht="21" customHeight="1" x14ac:dyDescent="0.7">
      <c r="A2" s="176"/>
      <c r="B2" s="176"/>
      <c r="C2" s="176"/>
      <c r="D2" s="176"/>
      <c r="E2" s="168" t="s">
        <v>58</v>
      </c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9" t="s">
        <v>95</v>
      </c>
      <c r="R2" s="169"/>
      <c r="S2" s="169"/>
      <c r="T2" s="169"/>
      <c r="U2" s="169"/>
    </row>
    <row r="3" spans="1:21" ht="21" customHeight="1" x14ac:dyDescent="0.7">
      <c r="A3" s="176"/>
      <c r="B3" s="176"/>
      <c r="C3" s="176"/>
      <c r="D3" s="176"/>
      <c r="E3" s="170" t="s">
        <v>60</v>
      </c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69"/>
      <c r="R3" s="169"/>
      <c r="S3" s="169"/>
      <c r="T3" s="169"/>
      <c r="U3" s="169"/>
    </row>
    <row r="4" spans="1:21" x14ac:dyDescent="0.7">
      <c r="A4" s="83" t="s">
        <v>61</v>
      </c>
      <c r="B4" s="84"/>
      <c r="C4" s="85"/>
      <c r="D4" s="84" t="s">
        <v>62</v>
      </c>
      <c r="E4" s="86">
        <v>27</v>
      </c>
      <c r="F4" s="87"/>
      <c r="G4" s="84"/>
      <c r="H4" s="84"/>
      <c r="I4" s="84"/>
      <c r="J4" s="84"/>
      <c r="K4" s="84"/>
      <c r="L4" s="84"/>
      <c r="M4" s="84"/>
      <c r="N4" s="84"/>
      <c r="O4" s="84"/>
      <c r="P4" s="88"/>
      <c r="Q4" s="89" t="s">
        <v>143</v>
      </c>
      <c r="R4" s="84"/>
      <c r="S4" s="84"/>
      <c r="T4" s="84"/>
      <c r="U4" s="90"/>
    </row>
    <row r="5" spans="1:21" x14ac:dyDescent="0.7">
      <c r="A5" s="91" t="s">
        <v>144</v>
      </c>
      <c r="B5" s="92"/>
      <c r="C5" s="92"/>
      <c r="D5" s="92"/>
      <c r="E5" s="92"/>
      <c r="F5" s="93"/>
      <c r="G5" s="94"/>
      <c r="H5" s="92"/>
      <c r="I5" s="92"/>
      <c r="J5" s="95"/>
      <c r="K5" s="92"/>
      <c r="L5" s="92"/>
      <c r="M5" s="92"/>
      <c r="N5" s="92"/>
      <c r="O5" s="92"/>
      <c r="P5" s="96"/>
      <c r="Q5" s="97" t="s">
        <v>145</v>
      </c>
      <c r="R5" s="92"/>
      <c r="S5" s="92"/>
      <c r="T5" s="98"/>
      <c r="U5" s="99"/>
    </row>
    <row r="6" spans="1:21" x14ac:dyDescent="0.7">
      <c r="A6" s="100" t="s">
        <v>63</v>
      </c>
      <c r="B6" s="27"/>
      <c r="C6" s="27"/>
      <c r="D6" s="27"/>
      <c r="E6" s="27"/>
      <c r="F6" s="27" t="s">
        <v>64</v>
      </c>
      <c r="G6" s="27"/>
      <c r="H6" s="27" t="s">
        <v>65</v>
      </c>
      <c r="I6" s="27"/>
      <c r="J6" s="27"/>
      <c r="K6" s="27"/>
      <c r="L6" s="27"/>
      <c r="M6" s="27"/>
      <c r="N6" s="27"/>
      <c r="O6" s="42" t="s">
        <v>146</v>
      </c>
      <c r="P6" s="27"/>
      <c r="Q6" s="27"/>
      <c r="R6" s="27"/>
      <c r="S6" s="27"/>
      <c r="T6" s="27"/>
      <c r="U6" s="101"/>
    </row>
    <row r="7" spans="1:21" x14ac:dyDescent="0.7">
      <c r="A7" s="100"/>
      <c r="B7" s="27"/>
      <c r="C7" s="27"/>
      <c r="D7" s="27" t="s">
        <v>66</v>
      </c>
      <c r="E7" s="27"/>
      <c r="F7" s="27"/>
      <c r="G7" s="27" t="s">
        <v>99</v>
      </c>
      <c r="H7" s="27"/>
      <c r="I7" s="27"/>
      <c r="J7" s="27"/>
      <c r="K7" s="175"/>
      <c r="L7" s="160"/>
      <c r="M7" s="42" t="s">
        <v>147</v>
      </c>
      <c r="N7" s="27"/>
      <c r="O7" s="27"/>
      <c r="P7" s="27"/>
      <c r="Q7" s="27"/>
      <c r="R7" s="27"/>
      <c r="S7" s="27"/>
      <c r="U7" s="101"/>
    </row>
    <row r="8" spans="1:21" ht="20.149999999999999" customHeight="1" x14ac:dyDescent="0.7">
      <c r="A8" s="102" t="s">
        <v>67</v>
      </c>
      <c r="B8" s="103"/>
      <c r="C8" s="103"/>
      <c r="D8" s="103"/>
      <c r="E8" s="103"/>
      <c r="F8" s="103"/>
      <c r="G8" s="103" t="s">
        <v>68</v>
      </c>
      <c r="H8" s="103"/>
      <c r="I8" s="103"/>
      <c r="J8" s="103"/>
      <c r="K8" s="103"/>
      <c r="L8" s="103"/>
      <c r="M8" s="103"/>
      <c r="N8" s="103"/>
      <c r="O8" s="173">
        <v>81000</v>
      </c>
      <c r="P8" s="173"/>
      <c r="Q8" s="104"/>
      <c r="R8" s="103"/>
      <c r="S8" s="103"/>
      <c r="T8" s="103"/>
      <c r="U8" s="105"/>
    </row>
    <row r="9" spans="1:21" x14ac:dyDescent="0.7">
      <c r="A9" s="106" t="s">
        <v>69</v>
      </c>
      <c r="B9" s="174" t="s">
        <v>44</v>
      </c>
      <c r="C9" s="174"/>
      <c r="D9" s="174"/>
      <c r="E9" s="174"/>
      <c r="F9" s="174"/>
      <c r="G9" s="174"/>
      <c r="H9" s="174"/>
      <c r="I9" s="171" t="s">
        <v>70</v>
      </c>
      <c r="J9" s="171"/>
      <c r="K9" s="171"/>
      <c r="L9" s="171" t="s">
        <v>71</v>
      </c>
      <c r="M9" s="171"/>
      <c r="N9" s="171"/>
      <c r="O9" s="171"/>
      <c r="P9" s="171" t="s">
        <v>72</v>
      </c>
      <c r="Q9" s="171"/>
      <c r="R9" s="171"/>
      <c r="S9" s="171"/>
      <c r="T9" s="172" t="s">
        <v>45</v>
      </c>
      <c r="U9" s="172"/>
    </row>
    <row r="10" spans="1:21" x14ac:dyDescent="0.7">
      <c r="A10" s="107"/>
      <c r="B10" s="108" t="s">
        <v>73</v>
      </c>
      <c r="C10" s="109"/>
      <c r="D10" s="109"/>
      <c r="E10" s="109"/>
      <c r="F10" s="109"/>
      <c r="G10" s="109"/>
      <c r="H10" s="110"/>
      <c r="I10" s="164">
        <v>6221002</v>
      </c>
      <c r="J10" s="164"/>
      <c r="K10" s="164"/>
      <c r="L10" s="164">
        <v>100687</v>
      </c>
      <c r="M10" s="164"/>
      <c r="N10" s="164"/>
      <c r="O10" s="164"/>
      <c r="P10" s="164" t="s">
        <v>74</v>
      </c>
      <c r="Q10" s="164"/>
      <c r="R10" s="164"/>
      <c r="S10" s="164"/>
      <c r="T10" s="111"/>
      <c r="U10" s="112"/>
    </row>
    <row r="11" spans="1:21" x14ac:dyDescent="0.7">
      <c r="A11" s="113">
        <v>1</v>
      </c>
      <c r="B11" s="114" t="s">
        <v>75</v>
      </c>
      <c r="C11" s="115"/>
      <c r="D11" s="115"/>
      <c r="E11" s="115"/>
      <c r="F11" s="115"/>
      <c r="G11" s="115"/>
      <c r="H11" s="116"/>
      <c r="I11" s="114"/>
      <c r="J11" s="115"/>
      <c r="K11" s="116"/>
      <c r="L11" s="114"/>
      <c r="M11" s="115"/>
      <c r="N11" s="115"/>
      <c r="O11" s="116"/>
      <c r="P11" s="114"/>
      <c r="Q11" s="115"/>
      <c r="R11" s="115"/>
      <c r="S11" s="116"/>
      <c r="T11" s="117">
        <f>SUM(คิดเงิน!D5:D6)</f>
        <v>1520</v>
      </c>
      <c r="U11" s="118"/>
    </row>
    <row r="12" spans="1:21" x14ac:dyDescent="0.7">
      <c r="A12" s="113">
        <v>2</v>
      </c>
      <c r="B12" s="114" t="s">
        <v>76</v>
      </c>
      <c r="C12" s="115"/>
      <c r="D12" s="115"/>
      <c r="E12" s="115"/>
      <c r="F12" s="115"/>
      <c r="G12" s="115"/>
      <c r="H12" s="116"/>
      <c r="I12" s="114"/>
      <c r="J12" s="115"/>
      <c r="K12" s="116"/>
      <c r="L12" s="114"/>
      <c r="M12" s="115"/>
      <c r="N12" s="115"/>
      <c r="O12" s="116"/>
      <c r="P12" s="114"/>
      <c r="Q12" s="115"/>
      <c r="R12" s="115"/>
      <c r="S12" s="116"/>
      <c r="T12" s="117">
        <f>คิดเงิน!D11</f>
        <v>2700</v>
      </c>
      <c r="U12" s="118"/>
    </row>
    <row r="13" spans="1:21" x14ac:dyDescent="0.7">
      <c r="A13" s="113">
        <v>3</v>
      </c>
      <c r="B13" s="114" t="s">
        <v>77</v>
      </c>
      <c r="C13" s="115"/>
      <c r="D13" s="115"/>
      <c r="E13" s="115"/>
      <c r="F13" s="115"/>
      <c r="G13" s="115"/>
      <c r="H13" s="116"/>
      <c r="I13" s="114"/>
      <c r="J13" s="115"/>
      <c r="K13" s="116"/>
      <c r="L13" s="114"/>
      <c r="M13" s="115"/>
      <c r="N13" s="115"/>
      <c r="O13" s="116"/>
      <c r="P13" s="114"/>
      <c r="Q13" s="115"/>
      <c r="R13" s="115"/>
      <c r="S13" s="116"/>
      <c r="T13" s="119">
        <v>0</v>
      </c>
      <c r="U13" s="118"/>
    </row>
    <row r="14" spans="1:21" x14ac:dyDescent="0.7">
      <c r="A14" s="113">
        <v>4</v>
      </c>
      <c r="B14" s="114" t="s">
        <v>78</v>
      </c>
      <c r="C14" s="115"/>
      <c r="D14" s="115"/>
      <c r="E14" s="115"/>
      <c r="F14" s="115"/>
      <c r="G14" s="115"/>
      <c r="H14" s="116"/>
      <c r="I14" s="114"/>
      <c r="J14" s="115"/>
      <c r="K14" s="116"/>
      <c r="L14" s="114"/>
      <c r="M14" s="115"/>
      <c r="N14" s="115"/>
      <c r="O14" s="116"/>
      <c r="P14" s="114"/>
      <c r="Q14" s="115"/>
      <c r="R14" s="115"/>
      <c r="S14" s="116"/>
      <c r="T14" s="119">
        <f>คิดเงิน!D16</f>
        <v>0</v>
      </c>
      <c r="U14" s="118"/>
    </row>
    <row r="15" spans="1:21" x14ac:dyDescent="0.7">
      <c r="A15" s="113">
        <v>5</v>
      </c>
      <c r="B15" s="114" t="s">
        <v>98</v>
      </c>
      <c r="C15" s="115"/>
      <c r="D15" s="115"/>
      <c r="E15" s="115"/>
      <c r="F15" s="115"/>
      <c r="G15" s="115"/>
      <c r="H15" s="116"/>
      <c r="I15" s="114"/>
      <c r="J15" s="115"/>
      <c r="K15" s="116"/>
      <c r="L15" s="114"/>
      <c r="M15" s="115"/>
      <c r="N15" s="115"/>
      <c r="O15" s="116"/>
      <c r="P15" s="114"/>
      <c r="Q15" s="115"/>
      <c r="R15" s="115"/>
      <c r="S15" s="116"/>
      <c r="T15" s="119">
        <f>คิดเงิน!D17</f>
        <v>0</v>
      </c>
      <c r="U15" s="118"/>
    </row>
    <row r="16" spans="1:21" x14ac:dyDescent="0.7">
      <c r="A16" s="120">
        <v>6</v>
      </c>
      <c r="B16" s="121" t="s">
        <v>79</v>
      </c>
      <c r="C16" s="122"/>
      <c r="D16" s="122"/>
      <c r="E16" s="122"/>
      <c r="F16" s="122"/>
      <c r="G16" s="122"/>
      <c r="H16" s="123"/>
      <c r="I16" s="121"/>
      <c r="J16" s="122"/>
      <c r="K16" s="123"/>
      <c r="L16" s="121"/>
      <c r="M16" s="122"/>
      <c r="N16" s="122"/>
      <c r="O16" s="123"/>
      <c r="P16" s="121"/>
      <c r="Q16" s="122"/>
      <c r="R16" s="122"/>
      <c r="S16" s="123"/>
      <c r="T16" s="124"/>
      <c r="U16" s="125"/>
    </row>
    <row r="17" spans="1:25" x14ac:dyDescent="0.7">
      <c r="A17" s="165" t="s">
        <v>80</v>
      </c>
      <c r="B17" s="165"/>
      <c r="C17" s="126"/>
      <c r="D17" s="126"/>
      <c r="E17" s="127"/>
      <c r="F17" s="128" t="str">
        <f>BAHTTEXT(T17)</f>
        <v>สี่พันสองร้อยยี่สิบบาทถ้วน</v>
      </c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27" t="s">
        <v>81</v>
      </c>
      <c r="R17" s="27"/>
      <c r="S17" s="37" t="s">
        <v>82</v>
      </c>
      <c r="T17" s="129">
        <f>SUM(T11:T16)</f>
        <v>4220</v>
      </c>
      <c r="U17" s="101"/>
    </row>
    <row r="18" spans="1:25" ht="18" customHeight="1" x14ac:dyDescent="0.7">
      <c r="A18" s="130" t="s">
        <v>46</v>
      </c>
      <c r="B18" s="84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31"/>
    </row>
    <row r="19" spans="1:25" ht="18" customHeight="1" x14ac:dyDescent="0.7">
      <c r="A19" s="132"/>
      <c r="B19" s="133"/>
      <c r="C19" s="133"/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4"/>
    </row>
    <row r="20" spans="1:25" ht="18" customHeight="1" x14ac:dyDescent="0.7">
      <c r="A20" s="135"/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5"/>
      <c r="U20" s="136"/>
    </row>
    <row r="21" spans="1:25" ht="5.15" customHeight="1" x14ac:dyDescent="0.7">
      <c r="A21" s="91"/>
      <c r="B21" s="92"/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9"/>
    </row>
    <row r="22" spans="1:25" x14ac:dyDescent="0.7">
      <c r="A22" s="83" t="s">
        <v>148</v>
      </c>
      <c r="B22" s="84"/>
      <c r="C22" s="84"/>
      <c r="D22" s="84"/>
      <c r="E22" s="84"/>
      <c r="F22" s="84"/>
      <c r="G22" s="84"/>
      <c r="H22" s="84"/>
      <c r="I22" s="84"/>
      <c r="J22" s="88"/>
      <c r="K22" s="89" t="s">
        <v>149</v>
      </c>
      <c r="L22" s="84"/>
      <c r="M22" s="84"/>
      <c r="N22" s="84"/>
      <c r="O22" s="84"/>
      <c r="P22" s="84"/>
      <c r="Q22" s="84"/>
      <c r="R22" s="84"/>
      <c r="S22" s="84"/>
      <c r="T22" s="84"/>
      <c r="U22" s="90"/>
    </row>
    <row r="23" spans="1:25" x14ac:dyDescent="0.7">
      <c r="A23" s="100"/>
      <c r="B23" s="27"/>
      <c r="C23" s="160"/>
      <c r="D23" s="160"/>
      <c r="E23" s="160"/>
      <c r="F23" s="160"/>
      <c r="G23" s="27"/>
      <c r="H23" s="27"/>
      <c r="I23" s="27"/>
      <c r="J23" s="137"/>
      <c r="K23" s="138"/>
      <c r="L23" s="27"/>
      <c r="M23" s="27"/>
      <c r="N23" s="27"/>
      <c r="O23" s="27" t="s">
        <v>114</v>
      </c>
      <c r="P23" s="27"/>
      <c r="Q23" s="27"/>
      <c r="R23" s="27"/>
      <c r="S23" s="27"/>
      <c r="T23" s="27"/>
      <c r="U23" s="101"/>
    </row>
    <row r="24" spans="1:25" x14ac:dyDescent="0.7">
      <c r="A24" s="100" t="s">
        <v>83</v>
      </c>
      <c r="B24" s="27"/>
      <c r="C24" s="166"/>
      <c r="D24" s="166"/>
      <c r="E24" s="166"/>
      <c r="F24" s="166"/>
      <c r="G24" s="42" t="s">
        <v>59</v>
      </c>
      <c r="H24" s="162"/>
      <c r="I24" s="162"/>
      <c r="J24" s="162"/>
      <c r="K24" s="27" t="s">
        <v>150</v>
      </c>
      <c r="L24" s="27"/>
      <c r="M24" s="27"/>
      <c r="N24" s="27"/>
      <c r="O24" s="27"/>
      <c r="P24" s="27"/>
      <c r="Q24" s="27"/>
      <c r="R24" s="27"/>
      <c r="S24" s="27"/>
      <c r="T24" s="27" t="s">
        <v>151</v>
      </c>
      <c r="U24" s="101"/>
    </row>
    <row r="25" spans="1:25" ht="5.15" customHeight="1" x14ac:dyDescent="0.7">
      <c r="A25" s="91"/>
      <c r="B25" s="92"/>
      <c r="C25" s="98"/>
      <c r="D25" s="98"/>
      <c r="E25" s="98"/>
      <c r="F25" s="98"/>
      <c r="G25" s="92"/>
      <c r="H25" s="92"/>
      <c r="I25" s="92"/>
      <c r="J25" s="96"/>
      <c r="K25" s="97"/>
      <c r="L25" s="92"/>
      <c r="M25" s="92"/>
      <c r="N25" s="92"/>
      <c r="O25" s="92"/>
      <c r="P25" s="92"/>
      <c r="Q25" s="92"/>
      <c r="R25" s="92"/>
      <c r="S25" s="92"/>
      <c r="T25" s="92"/>
      <c r="U25" s="99"/>
    </row>
    <row r="26" spans="1:25" x14ac:dyDescent="0.7">
      <c r="A26" s="139" t="s">
        <v>84</v>
      </c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1"/>
    </row>
    <row r="27" spans="1:25" x14ac:dyDescent="0.7">
      <c r="A27" s="100" t="s">
        <v>85</v>
      </c>
      <c r="B27" s="27"/>
      <c r="C27" s="27"/>
      <c r="D27" s="27"/>
      <c r="E27" s="27"/>
      <c r="F27" s="27"/>
      <c r="G27" s="27"/>
      <c r="H27" s="27"/>
      <c r="I27" s="27"/>
      <c r="J27" s="27"/>
      <c r="K27" s="89" t="s">
        <v>86</v>
      </c>
      <c r="L27" s="84"/>
      <c r="M27" s="84"/>
      <c r="N27" s="84"/>
      <c r="O27" s="84"/>
      <c r="P27" s="84"/>
      <c r="Q27" s="84"/>
      <c r="R27" s="84"/>
      <c r="S27" s="84"/>
      <c r="T27" s="84"/>
      <c r="U27" s="90"/>
    </row>
    <row r="28" spans="1:25" x14ac:dyDescent="0.7">
      <c r="A28" s="100" t="s">
        <v>152</v>
      </c>
      <c r="B28" s="27"/>
      <c r="C28" s="27"/>
      <c r="D28" s="27"/>
      <c r="E28" s="27"/>
      <c r="F28" s="27"/>
      <c r="G28" s="27" t="s">
        <v>87</v>
      </c>
      <c r="H28" s="27"/>
      <c r="I28" s="27"/>
      <c r="J28" s="27"/>
      <c r="K28" s="138" t="s">
        <v>153</v>
      </c>
      <c r="L28" s="27"/>
      <c r="M28" s="27"/>
      <c r="N28" s="27"/>
      <c r="O28" s="27"/>
      <c r="P28" s="27"/>
      <c r="Q28" s="27"/>
      <c r="R28" s="27"/>
      <c r="S28" s="27"/>
      <c r="T28" s="27"/>
      <c r="U28" s="101"/>
    </row>
    <row r="29" spans="1:25" x14ac:dyDescent="0.7">
      <c r="A29" s="100"/>
      <c r="B29" s="27" t="s">
        <v>154</v>
      </c>
      <c r="C29" s="27"/>
      <c r="D29" s="27"/>
      <c r="E29" s="27"/>
      <c r="F29" s="27"/>
      <c r="G29" s="27"/>
      <c r="H29" s="27"/>
      <c r="I29" s="27"/>
      <c r="J29" s="27"/>
      <c r="K29" s="138"/>
      <c r="L29" s="27"/>
      <c r="M29" s="27" t="s">
        <v>155</v>
      </c>
      <c r="N29" s="27"/>
      <c r="O29" s="27"/>
      <c r="P29" s="27"/>
      <c r="Q29" s="27"/>
      <c r="R29" s="27"/>
      <c r="S29" s="27"/>
      <c r="T29" s="27"/>
      <c r="U29" s="101"/>
    </row>
    <row r="30" spans="1:25" x14ac:dyDescent="0.7">
      <c r="A30" s="100" t="s">
        <v>156</v>
      </c>
      <c r="B30" s="27"/>
      <c r="C30" s="27"/>
      <c r="D30" s="27"/>
      <c r="E30" s="27"/>
      <c r="F30" s="27"/>
      <c r="G30" s="27" t="s">
        <v>157</v>
      </c>
      <c r="H30" s="27"/>
      <c r="I30" s="27"/>
      <c r="J30" s="27"/>
      <c r="K30" s="97" t="s">
        <v>158</v>
      </c>
      <c r="L30" s="92"/>
      <c r="M30" s="92"/>
      <c r="N30" s="92"/>
      <c r="O30" s="92"/>
      <c r="P30" s="92"/>
      <c r="Q30" s="92"/>
      <c r="R30" s="92"/>
      <c r="S30" s="92"/>
      <c r="T30" s="92" t="s">
        <v>159</v>
      </c>
      <c r="U30" s="99"/>
    </row>
    <row r="31" spans="1:25" x14ac:dyDescent="0.7">
      <c r="A31" s="83" t="s">
        <v>160</v>
      </c>
      <c r="B31" s="84"/>
      <c r="C31" s="84"/>
      <c r="D31" s="84"/>
      <c r="E31" s="84"/>
      <c r="F31" s="84"/>
      <c r="G31" s="84" t="s">
        <v>1</v>
      </c>
      <c r="H31" s="84"/>
      <c r="I31" s="84"/>
      <c r="J31" s="88"/>
      <c r="K31" s="89" t="s">
        <v>88</v>
      </c>
      <c r="L31" s="84"/>
      <c r="M31" s="84"/>
      <c r="N31" s="84"/>
      <c r="O31" s="84"/>
      <c r="P31" s="84"/>
      <c r="Q31" s="84"/>
      <c r="R31" s="84"/>
      <c r="S31" s="84"/>
      <c r="T31" s="84"/>
      <c r="U31" s="90"/>
    </row>
    <row r="32" spans="1:25" ht="24" x14ac:dyDescent="0.8">
      <c r="A32" s="100" t="s">
        <v>161</v>
      </c>
      <c r="B32" s="27"/>
      <c r="C32" s="27"/>
      <c r="D32" s="27"/>
      <c r="E32" s="27"/>
      <c r="F32" s="27"/>
      <c r="G32" s="27"/>
      <c r="H32" s="27"/>
      <c r="I32" s="27"/>
      <c r="J32" s="137"/>
      <c r="K32" s="138" t="s">
        <v>162</v>
      </c>
      <c r="L32" s="27"/>
      <c r="M32" s="27"/>
      <c r="N32" s="27"/>
      <c r="O32" s="27"/>
      <c r="P32" s="27"/>
      <c r="Q32" s="27"/>
      <c r="R32" s="27"/>
      <c r="S32" s="27"/>
      <c r="T32" s="27"/>
      <c r="U32" s="101"/>
      <c r="Y32" s="40"/>
    </row>
    <row r="33" spans="1:21" x14ac:dyDescent="0.7">
      <c r="A33" s="100" t="s">
        <v>163</v>
      </c>
      <c r="B33" s="27"/>
      <c r="C33" s="27"/>
      <c r="D33" s="27"/>
      <c r="E33" s="27"/>
      <c r="F33" s="27"/>
      <c r="G33" s="27" t="s">
        <v>164</v>
      </c>
      <c r="H33" s="27"/>
      <c r="I33" s="27"/>
      <c r="J33" s="137"/>
      <c r="K33" s="138"/>
      <c r="L33" s="27"/>
      <c r="M33" s="27" t="s">
        <v>93</v>
      </c>
      <c r="N33" s="27"/>
      <c r="O33" s="27"/>
      <c r="P33" s="27"/>
      <c r="Q33" s="27"/>
      <c r="R33" s="27"/>
      <c r="S33" s="27"/>
      <c r="T33" s="27"/>
      <c r="U33" s="101"/>
    </row>
    <row r="34" spans="1:21" x14ac:dyDescent="0.7">
      <c r="A34" s="91"/>
      <c r="B34" s="92"/>
      <c r="C34" s="92"/>
      <c r="D34" s="92"/>
      <c r="E34" s="92"/>
      <c r="F34" s="92"/>
      <c r="G34" s="92"/>
      <c r="H34" s="92"/>
      <c r="I34" s="92"/>
      <c r="J34" s="96"/>
      <c r="K34" s="97" t="s">
        <v>165</v>
      </c>
      <c r="L34" s="92"/>
      <c r="M34" s="92"/>
      <c r="N34" s="92"/>
      <c r="O34" s="92"/>
      <c r="P34" s="92"/>
      <c r="Q34" s="92"/>
      <c r="R34" s="92"/>
      <c r="S34" s="92"/>
      <c r="T34" s="92" t="s">
        <v>166</v>
      </c>
      <c r="U34" s="99"/>
    </row>
    <row r="35" spans="1:21" x14ac:dyDescent="0.7">
      <c r="A35" s="139" t="s">
        <v>89</v>
      </c>
      <c r="B35" s="140"/>
      <c r="C35" s="140"/>
      <c r="D35" s="140"/>
      <c r="E35" s="140"/>
      <c r="F35" s="140"/>
      <c r="G35" s="140"/>
      <c r="H35" s="140"/>
      <c r="I35" s="140"/>
      <c r="J35" s="140"/>
      <c r="K35" s="140"/>
      <c r="L35" s="140"/>
      <c r="M35" s="140"/>
      <c r="N35" s="140"/>
      <c r="O35" s="140"/>
      <c r="P35" s="140"/>
      <c r="Q35" s="140"/>
      <c r="R35" s="140"/>
      <c r="S35" s="140"/>
      <c r="T35" s="140"/>
      <c r="U35" s="141"/>
    </row>
    <row r="36" spans="1:21" x14ac:dyDescent="0.7">
      <c r="A36" s="142" t="s">
        <v>167</v>
      </c>
      <c r="B36" s="140"/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3"/>
      <c r="U36" s="141"/>
    </row>
    <row r="37" spans="1:21" x14ac:dyDescent="0.7">
      <c r="A37" s="139" t="s">
        <v>90</v>
      </c>
      <c r="B37" s="140"/>
      <c r="C37" s="140"/>
      <c r="D37" s="140"/>
      <c r="E37" s="140"/>
      <c r="F37" s="140"/>
      <c r="G37" s="140"/>
      <c r="H37" s="140"/>
      <c r="I37" s="140"/>
      <c r="J37" s="140"/>
      <c r="K37" s="140"/>
      <c r="L37" s="140"/>
      <c r="M37" s="140"/>
      <c r="N37" s="140"/>
      <c r="O37" s="140"/>
      <c r="P37" s="140"/>
      <c r="Q37" s="140"/>
      <c r="R37" s="140"/>
      <c r="S37" s="140"/>
      <c r="T37" s="140"/>
      <c r="U37" s="141"/>
    </row>
    <row r="38" spans="1:21" x14ac:dyDescent="0.7">
      <c r="A38" s="100" t="s">
        <v>91</v>
      </c>
      <c r="B38" s="27"/>
      <c r="C38" s="27"/>
      <c r="D38" s="27"/>
      <c r="E38" s="27"/>
      <c r="F38" s="27"/>
      <c r="G38" s="27"/>
      <c r="H38" s="27"/>
      <c r="I38" s="27"/>
      <c r="J38" s="27"/>
      <c r="K38" s="89"/>
      <c r="L38" s="84"/>
      <c r="M38" s="84"/>
      <c r="N38" s="84"/>
      <c r="O38" s="84"/>
      <c r="P38" s="84"/>
      <c r="Q38" s="84"/>
      <c r="R38" s="84"/>
      <c r="S38" s="84"/>
      <c r="T38" s="84"/>
      <c r="U38" s="90"/>
    </row>
    <row r="39" spans="1:21" x14ac:dyDescent="0.7">
      <c r="A39" s="100" t="s">
        <v>168</v>
      </c>
      <c r="B39" s="27"/>
      <c r="C39" s="27"/>
      <c r="D39" s="27"/>
      <c r="E39" s="27"/>
      <c r="F39" s="27"/>
      <c r="G39" s="27"/>
      <c r="H39" s="27"/>
      <c r="I39" s="27"/>
      <c r="J39" s="27"/>
      <c r="K39" s="138" t="s">
        <v>169</v>
      </c>
      <c r="L39" s="27"/>
      <c r="M39" s="27"/>
      <c r="N39" s="27"/>
      <c r="O39" s="27"/>
      <c r="P39" s="27"/>
      <c r="Q39" s="27"/>
      <c r="R39" s="27"/>
      <c r="S39" s="27"/>
      <c r="T39" s="27"/>
      <c r="U39" s="101"/>
    </row>
    <row r="40" spans="1:21" x14ac:dyDescent="0.7">
      <c r="A40" s="100"/>
      <c r="B40" s="27"/>
      <c r="C40" s="160"/>
      <c r="D40" s="160"/>
      <c r="E40" s="160"/>
      <c r="F40" s="160"/>
      <c r="G40" s="27"/>
      <c r="H40" s="27"/>
      <c r="I40" s="27"/>
      <c r="J40" s="137"/>
      <c r="K40" s="138"/>
      <c r="L40" s="27"/>
      <c r="M40" s="27"/>
      <c r="N40" s="27" t="s">
        <v>94</v>
      </c>
      <c r="O40" s="27"/>
      <c r="P40" s="27"/>
      <c r="Q40" s="27"/>
      <c r="R40" s="27"/>
      <c r="S40" s="27"/>
      <c r="T40" s="27"/>
      <c r="U40" s="101"/>
    </row>
    <row r="41" spans="1:21" ht="23.25" customHeight="1" thickBot="1" x14ac:dyDescent="0.75">
      <c r="A41" s="144" t="s">
        <v>83</v>
      </c>
      <c r="B41" s="145"/>
      <c r="C41" s="161"/>
      <c r="D41" s="161"/>
      <c r="E41" s="161"/>
      <c r="F41" s="161"/>
      <c r="G41" s="145" t="s">
        <v>170</v>
      </c>
      <c r="H41" s="162"/>
      <c r="I41" s="162"/>
      <c r="J41" s="162"/>
      <c r="K41" s="146" t="s">
        <v>171</v>
      </c>
      <c r="L41" s="145"/>
      <c r="M41" s="145"/>
      <c r="N41" s="145"/>
      <c r="O41" s="145"/>
      <c r="P41" s="145"/>
      <c r="Q41" s="145"/>
      <c r="R41" s="145"/>
      <c r="S41" s="145"/>
      <c r="T41" s="145" t="s">
        <v>172</v>
      </c>
      <c r="U41" s="147"/>
    </row>
    <row r="42" spans="1:21" x14ac:dyDescent="0.7">
      <c r="A42" s="163"/>
      <c r="B42" s="163"/>
      <c r="C42" s="163"/>
      <c r="D42" s="163"/>
      <c r="E42" s="163"/>
      <c r="F42" s="163"/>
      <c r="G42" s="163"/>
      <c r="H42" s="163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</row>
    <row r="67" s="26" customFormat="1" ht="4.5" customHeight="1" x14ac:dyDescent="0.7"/>
  </sheetData>
  <sheetProtection selectLockedCells="1" selectUnlockedCells="1"/>
  <mergeCells count="24">
    <mergeCell ref="Q1:T1"/>
    <mergeCell ref="E2:P2"/>
    <mergeCell ref="Q2:U3"/>
    <mergeCell ref="E3:P3"/>
    <mergeCell ref="I9:K9"/>
    <mergeCell ref="L9:O9"/>
    <mergeCell ref="P9:S9"/>
    <mergeCell ref="T9:U9"/>
    <mergeCell ref="O8:P8"/>
    <mergeCell ref="B9:H9"/>
    <mergeCell ref="K7:L7"/>
    <mergeCell ref="A1:D3"/>
    <mergeCell ref="E1:P1"/>
    <mergeCell ref="C40:F40"/>
    <mergeCell ref="C41:F41"/>
    <mergeCell ref="H41:J41"/>
    <mergeCell ref="A42:U42"/>
    <mergeCell ref="I10:K10"/>
    <mergeCell ref="L10:O10"/>
    <mergeCell ref="P10:S10"/>
    <mergeCell ref="A17:B17"/>
    <mergeCell ref="C23:F23"/>
    <mergeCell ref="C24:F24"/>
    <mergeCell ref="H24:J24"/>
  </mergeCells>
  <pageMargins left="0.2902777777777778" right="0.20972222222222223" top="0.2" bottom="0.20972222222222223" header="0.51180555555555551" footer="0.51180555555555551"/>
  <pageSetup paperSize="9" scale="98" firstPageNumber="0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รูปภาพ Microsoft Word" shapeId="5138" r:id="rId4">
          <objectPr defaultSize="0" autoPict="0" r:id="rId5">
            <anchor moveWithCells="1" sizeWithCells="1">
              <from>
                <xdr:col>0</xdr:col>
                <xdr:colOff>101600</xdr:colOff>
                <xdr:row>0</xdr:row>
                <xdr:rowOff>38100</xdr:rowOff>
              </from>
              <to>
                <xdr:col>1</xdr:col>
                <xdr:colOff>171450</xdr:colOff>
                <xdr:row>1</xdr:row>
                <xdr:rowOff>120650</xdr:rowOff>
              </to>
            </anchor>
          </objectPr>
        </oleObject>
      </mc:Choice>
      <mc:Fallback>
        <oleObject progId="รูปภาพ Microsoft Word" shapeId="5138" r:id="rId4"/>
      </mc:Fallback>
    </mc:AlternateContent>
    <mc:AlternateContent xmlns:mc="http://schemas.openxmlformats.org/markup-compatibility/2006">
      <mc:Choice Requires="x14">
        <oleObject progId="รูปภาพ Microsoft Word" shapeId="5139" r:id="rId6">
          <objectPr defaultSize="0" autoPict="0" r:id="rId5">
            <anchor moveWithCells="1" sizeWithCells="1">
              <from>
                <xdr:col>0</xdr:col>
                <xdr:colOff>101600</xdr:colOff>
                <xdr:row>0</xdr:row>
                <xdr:rowOff>38100</xdr:rowOff>
              </from>
              <to>
                <xdr:col>1</xdr:col>
                <xdr:colOff>171450</xdr:colOff>
                <xdr:row>1</xdr:row>
                <xdr:rowOff>120650</xdr:rowOff>
              </to>
            </anchor>
          </objectPr>
        </oleObject>
      </mc:Choice>
      <mc:Fallback>
        <oleObject progId="รูปภาพ Microsoft Word" shapeId="5139" r:id="rId6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F30F3-4F80-46A4-994E-B05A15141EEA}">
  <sheetPr codeName="Sheet3">
    <pageSetUpPr fitToPage="1"/>
  </sheetPr>
  <dimension ref="A1:N17"/>
  <sheetViews>
    <sheetView tabSelected="1" view="pageBreakPreview" zoomScale="90" zoomScaleNormal="100" zoomScaleSheetLayoutView="90" workbookViewId="0">
      <selection activeCell="I13" sqref="I13:L13"/>
    </sheetView>
  </sheetViews>
  <sheetFormatPr defaultColWidth="8.77734375" defaultRowHeight="21" x14ac:dyDescent="0.7"/>
  <cols>
    <col min="1" max="1" width="3.33203125" style="26" customWidth="1"/>
    <col min="2" max="2" width="22.109375" style="26" customWidth="1"/>
    <col min="3" max="3" width="13.44140625" style="26" customWidth="1"/>
    <col min="4" max="4" width="8.6640625" style="26" customWidth="1"/>
    <col min="5" max="5" width="13.44140625" style="26" customWidth="1"/>
    <col min="6" max="6" width="12.44140625" style="26" customWidth="1"/>
    <col min="7" max="7" width="13.6640625" style="26" customWidth="1"/>
    <col min="8" max="8" width="7.44140625" style="26" customWidth="1"/>
    <col min="9" max="9" width="8.77734375" style="26"/>
    <col min="10" max="10" width="11.109375" style="26" customWidth="1"/>
    <col min="11" max="11" width="8" style="26" customWidth="1"/>
    <col min="12" max="12" width="20.6640625" style="26" customWidth="1"/>
    <col min="13" max="13" width="9.44140625" style="26" customWidth="1"/>
    <col min="14" max="16384" width="8.77734375" style="26"/>
  </cols>
  <sheetData>
    <row r="1" spans="1:14" ht="27" x14ac:dyDescent="0.9">
      <c r="A1" s="178" t="s">
        <v>6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</row>
    <row r="2" spans="1:14" ht="24" x14ac:dyDescent="0.8">
      <c r="A2" s="27"/>
      <c r="B2" s="28"/>
      <c r="C2" s="29"/>
      <c r="D2" s="30"/>
      <c r="E2" s="28"/>
      <c r="F2" s="28"/>
      <c r="G2" s="31" t="s">
        <v>7</v>
      </c>
      <c r="H2" s="28" t="s">
        <v>8</v>
      </c>
      <c r="I2" s="27"/>
      <c r="J2" s="27"/>
      <c r="K2" s="27"/>
      <c r="L2" s="27"/>
    </row>
    <row r="3" spans="1:14" ht="24" x14ac:dyDescent="0.8">
      <c r="A3" s="27"/>
      <c r="B3" s="28"/>
      <c r="C3" s="28"/>
      <c r="D3" s="31"/>
      <c r="E3" s="27"/>
      <c r="F3" s="32"/>
      <c r="G3" s="33" t="s">
        <v>9</v>
      </c>
      <c r="H3" s="34"/>
      <c r="I3" s="35" t="s">
        <v>10</v>
      </c>
      <c r="J3" s="36"/>
      <c r="K3" s="37" t="s">
        <v>11</v>
      </c>
      <c r="L3" s="38"/>
    </row>
    <row r="4" spans="1:14" ht="24" x14ac:dyDescent="0.8">
      <c r="A4" s="27"/>
      <c r="B4" s="28"/>
      <c r="C4" s="28" t="s">
        <v>12</v>
      </c>
      <c r="D4" s="179"/>
      <c r="E4" s="179"/>
      <c r="G4" s="39" t="s">
        <v>0</v>
      </c>
      <c r="H4" s="40"/>
      <c r="I4" s="32"/>
      <c r="J4" s="32"/>
      <c r="K4" s="41"/>
      <c r="L4" s="41"/>
    </row>
    <row r="5" spans="1:14" ht="24" x14ac:dyDescent="0.8">
      <c r="A5" s="27"/>
      <c r="B5" s="28" t="s">
        <v>13</v>
      </c>
      <c r="C5" s="28"/>
      <c r="D5" s="30"/>
      <c r="E5" s="28"/>
      <c r="F5" s="28"/>
      <c r="G5" s="30"/>
      <c r="H5" s="28"/>
      <c r="I5" s="27"/>
      <c r="J5" s="27"/>
      <c r="K5" s="27"/>
      <c r="L5" s="27"/>
    </row>
    <row r="6" spans="1:14" ht="24" x14ac:dyDescent="0.8">
      <c r="A6" s="27"/>
      <c r="B6" s="28"/>
      <c r="C6" s="28" t="s">
        <v>14</v>
      </c>
      <c r="D6" s="180"/>
      <c r="E6" s="160"/>
      <c r="F6" s="160"/>
      <c r="G6" s="28" t="s">
        <v>15</v>
      </c>
      <c r="H6" s="28"/>
      <c r="I6" s="181"/>
      <c r="J6" s="181"/>
      <c r="K6" s="181"/>
      <c r="L6" s="181"/>
    </row>
    <row r="7" spans="1:14" ht="24" x14ac:dyDescent="0.8">
      <c r="A7" s="27"/>
      <c r="B7" s="28" t="s">
        <v>116</v>
      </c>
      <c r="C7" s="28"/>
      <c r="D7" s="30"/>
      <c r="E7" s="28"/>
      <c r="F7" s="28"/>
      <c r="G7" s="30"/>
      <c r="H7" s="28"/>
      <c r="I7" s="27"/>
      <c r="J7" s="27"/>
      <c r="K7" s="27"/>
      <c r="L7" s="27"/>
    </row>
    <row r="8" spans="1:14" ht="24" x14ac:dyDescent="0.8">
      <c r="A8" s="27"/>
      <c r="B8" s="28" t="s">
        <v>16</v>
      </c>
      <c r="C8" s="31" t="s">
        <v>9</v>
      </c>
      <c r="D8" s="34"/>
      <c r="E8" s="34" t="s">
        <v>10</v>
      </c>
      <c r="F8" s="182"/>
      <c r="G8" s="182"/>
      <c r="H8" s="30" t="s">
        <v>11</v>
      </c>
      <c r="I8" s="43"/>
      <c r="J8" s="35" t="s">
        <v>17</v>
      </c>
      <c r="K8" s="44"/>
      <c r="L8" s="27" t="s">
        <v>18</v>
      </c>
    </row>
    <row r="9" spans="1:14" ht="24" x14ac:dyDescent="0.8">
      <c r="A9" s="27"/>
      <c r="B9" s="179" t="s">
        <v>19</v>
      </c>
      <c r="C9" s="179"/>
      <c r="D9" s="34"/>
      <c r="E9" s="34" t="s">
        <v>10</v>
      </c>
      <c r="F9" s="182"/>
      <c r="G9" s="182"/>
      <c r="H9" s="30" t="s">
        <v>11</v>
      </c>
      <c r="I9" s="43"/>
      <c r="J9" s="35" t="s">
        <v>17</v>
      </c>
      <c r="K9" s="44"/>
      <c r="L9" s="27" t="s">
        <v>18</v>
      </c>
    </row>
    <row r="10" spans="1:14" ht="24" x14ac:dyDescent="0.8">
      <c r="A10" s="27"/>
      <c r="B10" s="184" t="s">
        <v>20</v>
      </c>
      <c r="C10" s="184"/>
      <c r="D10" s="45"/>
      <c r="E10" s="46" t="s">
        <v>21</v>
      </c>
      <c r="F10" s="47"/>
      <c r="G10" s="47"/>
      <c r="H10" s="30"/>
      <c r="I10" s="48"/>
      <c r="J10" s="35"/>
      <c r="K10" s="49"/>
      <c r="L10" s="27"/>
    </row>
    <row r="11" spans="1:14" ht="9" customHeight="1" x14ac:dyDescent="0.8">
      <c r="A11" s="27"/>
      <c r="B11" s="50"/>
      <c r="C11" s="50"/>
      <c r="D11" s="30"/>
      <c r="E11" s="28"/>
      <c r="F11" s="28"/>
      <c r="G11" s="30"/>
      <c r="H11" s="28"/>
      <c r="I11" s="27"/>
      <c r="J11" s="27"/>
      <c r="K11" s="27"/>
      <c r="L11" s="27"/>
    </row>
    <row r="12" spans="1:14" ht="23.9" customHeight="1" x14ac:dyDescent="0.8">
      <c r="A12" s="185" t="s">
        <v>22</v>
      </c>
      <c r="B12" s="186"/>
      <c r="C12" s="51" t="s">
        <v>9</v>
      </c>
      <c r="D12" s="51" t="s">
        <v>17</v>
      </c>
      <c r="E12" s="187" t="s">
        <v>23</v>
      </c>
      <c r="F12" s="187"/>
      <c r="G12" s="51" t="s">
        <v>9</v>
      </c>
      <c r="H12" s="51" t="s">
        <v>17</v>
      </c>
      <c r="I12" s="187" t="s">
        <v>24</v>
      </c>
      <c r="J12" s="187"/>
      <c r="K12" s="187"/>
      <c r="L12" s="187"/>
    </row>
    <row r="13" spans="1:14" s="159" customFormat="1" ht="48" customHeight="1" x14ac:dyDescent="0.6">
      <c r="A13" s="183"/>
      <c r="B13" s="183"/>
      <c r="C13" s="158"/>
      <c r="D13" s="157"/>
      <c r="E13" s="183"/>
      <c r="F13" s="183"/>
      <c r="G13" s="158"/>
      <c r="H13" s="157"/>
      <c r="I13" s="183"/>
      <c r="J13" s="183"/>
      <c r="K13" s="183"/>
      <c r="L13" s="183"/>
      <c r="N13" s="159">
        <v>92</v>
      </c>
    </row>
    <row r="14" spans="1:14" s="159" customFormat="1" ht="48" customHeight="1" x14ac:dyDescent="0.6">
      <c r="A14" s="183"/>
      <c r="B14" s="183"/>
      <c r="C14" s="158"/>
      <c r="D14" s="157"/>
      <c r="E14" s="183"/>
      <c r="F14" s="183"/>
      <c r="G14" s="158"/>
      <c r="H14" s="157"/>
      <c r="I14" s="183"/>
      <c r="J14" s="183"/>
      <c r="K14" s="183"/>
      <c r="L14" s="183"/>
    </row>
    <row r="15" spans="1:14" s="159" customFormat="1" ht="48" customHeight="1" x14ac:dyDescent="0.6">
      <c r="A15" s="183"/>
      <c r="B15" s="183"/>
      <c r="C15" s="158"/>
      <c r="D15" s="157"/>
      <c r="E15" s="183"/>
      <c r="F15" s="183"/>
      <c r="G15" s="158"/>
      <c r="H15" s="157"/>
      <c r="I15" s="183"/>
      <c r="J15" s="183"/>
      <c r="K15" s="183"/>
      <c r="L15" s="183"/>
    </row>
    <row r="16" spans="1:14" s="159" customFormat="1" ht="48" customHeight="1" x14ac:dyDescent="0.6">
      <c r="A16" s="183"/>
      <c r="B16" s="183"/>
      <c r="C16" s="158"/>
      <c r="D16" s="157"/>
      <c r="E16" s="183"/>
      <c r="F16" s="183"/>
      <c r="G16" s="158"/>
      <c r="H16" s="157"/>
      <c r="I16" s="183"/>
      <c r="J16" s="183"/>
      <c r="K16" s="183"/>
      <c r="L16" s="183"/>
    </row>
    <row r="17" spans="1:12" x14ac:dyDescent="0.7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</row>
  </sheetData>
  <sheetProtection selectLockedCells="1" selectUnlockedCells="1"/>
  <mergeCells count="23">
    <mergeCell ref="A15:B15"/>
    <mergeCell ref="E15:F15"/>
    <mergeCell ref="I15:L15"/>
    <mergeCell ref="A16:B16"/>
    <mergeCell ref="E16:F16"/>
    <mergeCell ref="I16:L16"/>
    <mergeCell ref="I14:L14"/>
    <mergeCell ref="A13:B13"/>
    <mergeCell ref="F9:G9"/>
    <mergeCell ref="B10:C10"/>
    <mergeCell ref="A12:B12"/>
    <mergeCell ref="E12:F12"/>
    <mergeCell ref="E13:F13"/>
    <mergeCell ref="A14:B14"/>
    <mergeCell ref="E14:F14"/>
    <mergeCell ref="B9:C9"/>
    <mergeCell ref="I12:L12"/>
    <mergeCell ref="I13:L13"/>
    <mergeCell ref="A1:L1"/>
    <mergeCell ref="D4:E4"/>
    <mergeCell ref="D6:F6"/>
    <mergeCell ref="I6:L6"/>
    <mergeCell ref="F8:G8"/>
  </mergeCells>
  <printOptions horizontalCentered="1"/>
  <pageMargins left="0.118110236220472" right="0" top="0.196850393700787" bottom="0.23622047244094499" header="0.511811023622047" footer="0.511811023622047"/>
  <pageSetup paperSize="9" scale="87" firstPageNumber="0" fitToHeight="0" orientation="portrait" r:id="rId1"/>
  <headerFooter alignWithMargins="0"/>
  <colBreaks count="1" manualBreakCount="1">
    <brk id="6" max="47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D7AF4-362E-4F51-8DD6-358E8EEBC72E}">
  <sheetPr codeName="Sheet4"/>
  <dimension ref="A1:IV163"/>
  <sheetViews>
    <sheetView view="pageBreakPreview" topLeftCell="A18" zoomScale="90" zoomScaleNormal="115" zoomScaleSheetLayoutView="90" workbookViewId="0">
      <selection activeCell="A24" sqref="A24:F24"/>
    </sheetView>
  </sheetViews>
  <sheetFormatPr defaultColWidth="9.33203125" defaultRowHeight="24" x14ac:dyDescent="0.8"/>
  <cols>
    <col min="1" max="1" width="40.77734375" style="40" customWidth="1"/>
    <col min="2" max="3" width="14.77734375" style="53" customWidth="1"/>
    <col min="4" max="4" width="14" style="53" customWidth="1"/>
    <col min="5" max="5" width="13.6640625" style="67" customWidth="1"/>
    <col min="6" max="6" width="12.77734375" style="53" customWidth="1"/>
    <col min="7" max="16384" width="9.33203125" style="40"/>
  </cols>
  <sheetData>
    <row r="1" spans="1:256" x14ac:dyDescent="0.8">
      <c r="A1" s="188" t="s">
        <v>43</v>
      </c>
      <c r="B1" s="188"/>
      <c r="C1" s="188"/>
      <c r="D1" s="188"/>
      <c r="E1" s="188"/>
      <c r="F1" s="188"/>
    </row>
    <row r="2" spans="1:256" s="53" customFormat="1" ht="9" customHeight="1" x14ac:dyDescent="0.8">
      <c r="A2" s="52"/>
      <c r="B2" s="30"/>
      <c r="C2" s="35"/>
      <c r="D2" s="30"/>
      <c r="E2" s="30"/>
      <c r="F2" s="30"/>
    </row>
    <row r="3" spans="1:256" x14ac:dyDescent="0.8">
      <c r="A3" s="189" t="s">
        <v>44</v>
      </c>
      <c r="B3" s="189"/>
      <c r="C3" s="189"/>
      <c r="D3" s="189" t="s">
        <v>45</v>
      </c>
      <c r="E3" s="189"/>
      <c r="F3" s="190" t="s">
        <v>46</v>
      </c>
      <c r="IV3" s="26"/>
    </row>
    <row r="4" spans="1:256" x14ac:dyDescent="0.8">
      <c r="A4" s="55" t="s">
        <v>47</v>
      </c>
      <c r="B4" s="54" t="s">
        <v>48</v>
      </c>
      <c r="C4" s="54" t="s">
        <v>2</v>
      </c>
      <c r="D4" s="54" t="s">
        <v>48</v>
      </c>
      <c r="E4" s="54" t="s">
        <v>49</v>
      </c>
      <c r="F4" s="190"/>
      <c r="IV4" s="26"/>
    </row>
    <row r="5" spans="1:256" x14ac:dyDescent="0.8">
      <c r="A5" s="55" t="s">
        <v>5</v>
      </c>
      <c r="B5" s="54">
        <v>380</v>
      </c>
      <c r="C5" s="56">
        <v>4</v>
      </c>
      <c r="D5" s="57">
        <f>B5*C5</f>
        <v>1520</v>
      </c>
      <c r="E5" s="54" t="s">
        <v>4</v>
      </c>
      <c r="F5" s="55"/>
      <c r="IV5" s="26"/>
    </row>
    <row r="6" spans="1:256" x14ac:dyDescent="0.8">
      <c r="A6" s="55"/>
      <c r="B6" s="54">
        <v>253</v>
      </c>
      <c r="C6" s="56">
        <v>0</v>
      </c>
      <c r="D6" s="57">
        <f>B6*C6</f>
        <v>0</v>
      </c>
      <c r="E6" s="54"/>
      <c r="F6" s="55"/>
      <c r="IV6" s="26"/>
    </row>
    <row r="7" spans="1:256" x14ac:dyDescent="0.8">
      <c r="A7" s="55"/>
      <c r="B7" s="54"/>
      <c r="C7" s="56"/>
      <c r="D7" s="57"/>
      <c r="E7" s="54"/>
      <c r="F7" s="55"/>
      <c r="IV7" s="26"/>
    </row>
    <row r="8" spans="1:256" x14ac:dyDescent="0.8">
      <c r="A8" s="55"/>
      <c r="B8" s="54"/>
      <c r="C8" s="54"/>
      <c r="D8" s="57"/>
      <c r="E8" s="54"/>
      <c r="F8" s="55"/>
      <c r="IV8" s="26"/>
    </row>
    <row r="9" spans="1:256" x14ac:dyDescent="0.8">
      <c r="A9" s="55"/>
      <c r="B9" s="54"/>
      <c r="C9" s="54"/>
      <c r="D9" s="57"/>
      <c r="E9" s="54"/>
      <c r="F9" s="55"/>
      <c r="IV9" s="26"/>
    </row>
    <row r="10" spans="1:256" x14ac:dyDescent="0.8">
      <c r="A10" s="55" t="s">
        <v>50</v>
      </c>
      <c r="B10" s="54" t="s">
        <v>48</v>
      </c>
      <c r="C10" s="54" t="s">
        <v>51</v>
      </c>
      <c r="D10" s="57" t="s">
        <v>48</v>
      </c>
      <c r="E10" s="54" t="s">
        <v>49</v>
      </c>
      <c r="F10" s="55"/>
      <c r="IV10" s="26"/>
    </row>
    <row r="11" spans="1:256" x14ac:dyDescent="0.8">
      <c r="A11" s="55" t="s">
        <v>5</v>
      </c>
      <c r="B11" s="54">
        <v>900</v>
      </c>
      <c r="C11" s="56">
        <v>3</v>
      </c>
      <c r="D11" s="57">
        <f>B11*C11</f>
        <v>2700</v>
      </c>
      <c r="E11" s="54" t="s">
        <v>4</v>
      </c>
      <c r="F11" s="55"/>
      <c r="IV11" s="26"/>
    </row>
    <row r="12" spans="1:256" x14ac:dyDescent="0.8">
      <c r="A12" s="55"/>
      <c r="B12" s="54"/>
      <c r="C12" s="56"/>
      <c r="D12" s="57"/>
      <c r="E12" s="54"/>
      <c r="F12" s="55"/>
      <c r="IV12" s="26"/>
    </row>
    <row r="13" spans="1:256" x14ac:dyDescent="0.8">
      <c r="A13" s="55"/>
      <c r="B13" s="54"/>
      <c r="C13" s="56"/>
      <c r="D13" s="57"/>
      <c r="E13" s="54"/>
      <c r="F13" s="55"/>
      <c r="IV13" s="26"/>
    </row>
    <row r="14" spans="1:256" x14ac:dyDescent="0.8">
      <c r="A14" s="55"/>
      <c r="B14" s="54"/>
      <c r="C14" s="56"/>
      <c r="D14" s="57"/>
      <c r="E14" s="54"/>
      <c r="F14" s="55"/>
      <c r="IV14" s="26"/>
    </row>
    <row r="15" spans="1:256" x14ac:dyDescent="0.8">
      <c r="A15" s="55"/>
      <c r="B15" s="54"/>
      <c r="C15" s="54"/>
      <c r="D15" s="57"/>
      <c r="E15" s="54"/>
      <c r="F15" s="55"/>
      <c r="IV15" s="26"/>
    </row>
    <row r="16" spans="1:256" x14ac:dyDescent="0.8">
      <c r="A16" s="55" t="s">
        <v>109</v>
      </c>
      <c r="B16" s="57"/>
      <c r="C16" s="54"/>
      <c r="D16" s="57"/>
      <c r="E16" s="54"/>
      <c r="F16" s="55"/>
      <c r="IV16" s="26"/>
    </row>
    <row r="17" spans="1:256" x14ac:dyDescent="0.8">
      <c r="A17" s="55" t="s">
        <v>52</v>
      </c>
      <c r="B17" s="58">
        <f>'แบบ บก111'!I12</f>
        <v>0</v>
      </c>
      <c r="D17" s="57">
        <f>B17</f>
        <v>0</v>
      </c>
      <c r="E17" s="54"/>
      <c r="F17" s="55"/>
      <c r="IV17" s="26"/>
    </row>
    <row r="18" spans="1:256" x14ac:dyDescent="0.8">
      <c r="A18" s="59" t="s">
        <v>185</v>
      </c>
      <c r="B18" s="60"/>
      <c r="C18" s="60"/>
      <c r="D18" s="61">
        <v>0</v>
      </c>
      <c r="E18" s="60" t="s">
        <v>4</v>
      </c>
      <c r="F18" s="59"/>
      <c r="IV18" s="26"/>
    </row>
    <row r="19" spans="1:256" x14ac:dyDescent="0.8">
      <c r="A19" s="62" t="s">
        <v>142</v>
      </c>
      <c r="B19" s="63"/>
      <c r="C19" s="63"/>
      <c r="D19" s="57"/>
      <c r="E19" s="63"/>
      <c r="F19" s="62"/>
      <c r="IV19" s="26"/>
    </row>
    <row r="20" spans="1:256" x14ac:dyDescent="0.8">
      <c r="A20" s="55" t="s">
        <v>53</v>
      </c>
      <c r="B20" s="54"/>
      <c r="C20" s="54"/>
      <c r="D20" s="57"/>
      <c r="E20" s="54"/>
      <c r="F20" s="54"/>
      <c r="IV20" s="26"/>
    </row>
    <row r="21" spans="1:256" x14ac:dyDescent="0.8">
      <c r="A21" s="64" t="str">
        <f>"รวมเป็นเงิน  (ตัวอักษร)  "&amp;BAHTTEXT(D21)</f>
        <v>รวมเป็นเงิน  (ตัวอักษร)  สี่พันสองร้อยยี่สิบบาทถ้วน</v>
      </c>
      <c r="B21" s="65"/>
      <c r="C21" s="52"/>
      <c r="D21" s="57">
        <f>SUM(D5:D20)</f>
        <v>4220</v>
      </c>
      <c r="E21" s="54" t="s">
        <v>4</v>
      </c>
      <c r="F21" s="55"/>
      <c r="IV21" s="26"/>
    </row>
    <row r="22" spans="1:256" ht="23.25" customHeight="1" x14ac:dyDescent="0.8">
      <c r="A22" s="50"/>
      <c r="B22" s="66"/>
      <c r="C22" s="30"/>
      <c r="D22" s="30"/>
      <c r="E22" s="30"/>
      <c r="F22" s="30"/>
    </row>
    <row r="23" spans="1:256" x14ac:dyDescent="0.8">
      <c r="A23" s="184" t="s">
        <v>186</v>
      </c>
      <c r="B23" s="184"/>
      <c r="C23" s="184"/>
      <c r="D23" s="184"/>
      <c r="E23" s="184"/>
      <c r="F23" s="184"/>
    </row>
    <row r="24" spans="1:256" x14ac:dyDescent="0.8">
      <c r="A24" s="184" t="s">
        <v>54</v>
      </c>
      <c r="B24" s="184"/>
      <c r="C24" s="184"/>
      <c r="D24" s="184"/>
      <c r="E24" s="184"/>
      <c r="F24" s="184"/>
    </row>
    <row r="25" spans="1:256" x14ac:dyDescent="0.8">
      <c r="A25" s="28" t="s">
        <v>55</v>
      </c>
      <c r="B25" s="30"/>
      <c r="C25" s="30"/>
      <c r="D25" s="30"/>
      <c r="E25" s="30"/>
      <c r="F25" s="30"/>
    </row>
    <row r="26" spans="1:256" x14ac:dyDescent="0.8">
      <c r="A26" s="28"/>
      <c r="B26" s="30"/>
      <c r="C26" s="30"/>
      <c r="D26" s="30"/>
      <c r="E26" s="30"/>
      <c r="F26" s="30"/>
    </row>
    <row r="27" spans="1:256" x14ac:dyDescent="0.8">
      <c r="A27" s="50"/>
      <c r="B27" s="30"/>
      <c r="C27" s="30"/>
      <c r="D27" s="30"/>
      <c r="E27" s="30"/>
      <c r="F27" s="30"/>
    </row>
    <row r="28" spans="1:256" x14ac:dyDescent="0.8">
      <c r="A28" s="50"/>
      <c r="B28" s="50"/>
      <c r="C28" s="28" t="s">
        <v>113</v>
      </c>
      <c r="D28" s="30"/>
      <c r="E28" s="30"/>
      <c r="F28" s="30" t="s">
        <v>56</v>
      </c>
    </row>
    <row r="29" spans="1:256" x14ac:dyDescent="0.8">
      <c r="A29" s="50"/>
      <c r="B29" s="30"/>
      <c r="C29" s="160" t="s">
        <v>177</v>
      </c>
      <c r="D29" s="160"/>
      <c r="E29" s="160"/>
      <c r="F29" s="160"/>
    </row>
    <row r="30" spans="1:256" x14ac:dyDescent="0.8">
      <c r="A30" s="50"/>
      <c r="B30" s="30"/>
      <c r="C30" s="160" t="s">
        <v>3</v>
      </c>
      <c r="D30" s="160"/>
      <c r="E30" s="160"/>
      <c r="F30" s="160"/>
    </row>
    <row r="31" spans="1:256" x14ac:dyDescent="0.8">
      <c r="A31" s="50"/>
      <c r="B31" s="30"/>
      <c r="C31" s="30"/>
      <c r="D31" s="30"/>
      <c r="E31" s="30"/>
      <c r="F31" s="30"/>
    </row>
    <row r="32" spans="1:256" x14ac:dyDescent="0.8">
      <c r="A32" s="50"/>
      <c r="B32" s="30"/>
      <c r="C32" s="30"/>
      <c r="D32" s="30"/>
      <c r="E32" s="30"/>
      <c r="F32" s="30"/>
    </row>
    <row r="33" spans="1:6" x14ac:dyDescent="0.8">
      <c r="A33" s="50"/>
      <c r="B33" s="30"/>
      <c r="C33" s="30"/>
      <c r="D33" s="30"/>
      <c r="E33" s="30"/>
      <c r="F33" s="30"/>
    </row>
    <row r="34" spans="1:6" x14ac:dyDescent="0.8">
      <c r="A34" s="50"/>
      <c r="B34" s="30"/>
      <c r="C34" s="30"/>
      <c r="D34" s="30"/>
      <c r="E34" s="30"/>
      <c r="F34" s="30"/>
    </row>
    <row r="35" spans="1:6" x14ac:dyDescent="0.8">
      <c r="A35" s="50"/>
      <c r="B35" s="30"/>
      <c r="C35" s="30"/>
      <c r="D35" s="30"/>
      <c r="E35" s="30"/>
      <c r="F35" s="30"/>
    </row>
    <row r="36" spans="1:6" x14ac:dyDescent="0.8">
      <c r="E36" s="53"/>
    </row>
    <row r="37" spans="1:6" x14ac:dyDescent="0.8">
      <c r="E37" s="53"/>
    </row>
    <row r="38" spans="1:6" x14ac:dyDescent="0.8">
      <c r="E38" s="53"/>
    </row>
    <row r="39" spans="1:6" x14ac:dyDescent="0.8">
      <c r="E39" s="53"/>
    </row>
    <row r="40" spans="1:6" x14ac:dyDescent="0.8">
      <c r="E40" s="53"/>
    </row>
    <row r="41" spans="1:6" x14ac:dyDescent="0.8">
      <c r="E41" s="53"/>
    </row>
    <row r="42" spans="1:6" x14ac:dyDescent="0.8">
      <c r="E42" s="53"/>
    </row>
    <row r="43" spans="1:6" x14ac:dyDescent="0.8">
      <c r="E43" s="53"/>
    </row>
    <row r="44" spans="1:6" x14ac:dyDescent="0.8">
      <c r="E44" s="53"/>
    </row>
    <row r="45" spans="1:6" x14ac:dyDescent="0.8">
      <c r="E45" s="53"/>
    </row>
    <row r="46" spans="1:6" x14ac:dyDescent="0.8">
      <c r="E46" s="53"/>
    </row>
    <row r="47" spans="1:6" x14ac:dyDescent="0.8">
      <c r="E47" s="53"/>
    </row>
    <row r="48" spans="1:6" x14ac:dyDescent="0.8">
      <c r="E48" s="53"/>
    </row>
    <row r="49" spans="5:5" x14ac:dyDescent="0.8">
      <c r="E49" s="53"/>
    </row>
    <row r="50" spans="5:5" x14ac:dyDescent="0.8">
      <c r="E50" s="53"/>
    </row>
    <row r="51" spans="5:5" x14ac:dyDescent="0.8">
      <c r="E51" s="53"/>
    </row>
    <row r="52" spans="5:5" x14ac:dyDescent="0.8">
      <c r="E52" s="53"/>
    </row>
    <row r="53" spans="5:5" x14ac:dyDescent="0.8">
      <c r="E53" s="53"/>
    </row>
    <row r="54" spans="5:5" x14ac:dyDescent="0.8">
      <c r="E54" s="53"/>
    </row>
    <row r="55" spans="5:5" x14ac:dyDescent="0.8">
      <c r="E55" s="53"/>
    </row>
    <row r="56" spans="5:5" x14ac:dyDescent="0.8">
      <c r="E56" s="53"/>
    </row>
    <row r="57" spans="5:5" x14ac:dyDescent="0.8">
      <c r="E57" s="53"/>
    </row>
    <row r="58" spans="5:5" x14ac:dyDescent="0.8">
      <c r="E58" s="53"/>
    </row>
    <row r="59" spans="5:5" x14ac:dyDescent="0.8">
      <c r="E59" s="53"/>
    </row>
    <row r="60" spans="5:5" x14ac:dyDescent="0.8">
      <c r="E60" s="53"/>
    </row>
    <row r="61" spans="5:5" x14ac:dyDescent="0.8">
      <c r="E61" s="53"/>
    </row>
    <row r="62" spans="5:5" x14ac:dyDescent="0.8">
      <c r="E62" s="53"/>
    </row>
    <row r="63" spans="5:5" x14ac:dyDescent="0.8">
      <c r="E63" s="53"/>
    </row>
    <row r="64" spans="5:5" x14ac:dyDescent="0.8">
      <c r="E64" s="53"/>
    </row>
    <row r="65" spans="5:5" x14ac:dyDescent="0.8">
      <c r="E65" s="53"/>
    </row>
    <row r="66" spans="5:5" x14ac:dyDescent="0.8">
      <c r="E66" s="53"/>
    </row>
    <row r="67" spans="5:5" x14ac:dyDescent="0.8">
      <c r="E67" s="53"/>
    </row>
    <row r="68" spans="5:5" x14ac:dyDescent="0.8">
      <c r="E68" s="53"/>
    </row>
    <row r="69" spans="5:5" x14ac:dyDescent="0.8">
      <c r="E69" s="53"/>
    </row>
    <row r="70" spans="5:5" x14ac:dyDescent="0.8">
      <c r="E70" s="53"/>
    </row>
    <row r="71" spans="5:5" x14ac:dyDescent="0.8">
      <c r="E71" s="53"/>
    </row>
    <row r="72" spans="5:5" x14ac:dyDescent="0.8">
      <c r="E72" s="53"/>
    </row>
    <row r="73" spans="5:5" x14ac:dyDescent="0.8">
      <c r="E73" s="53"/>
    </row>
    <row r="74" spans="5:5" x14ac:dyDescent="0.8">
      <c r="E74" s="53"/>
    </row>
    <row r="75" spans="5:5" x14ac:dyDescent="0.8">
      <c r="E75" s="53"/>
    </row>
    <row r="76" spans="5:5" x14ac:dyDescent="0.8">
      <c r="E76" s="53"/>
    </row>
    <row r="77" spans="5:5" x14ac:dyDescent="0.8">
      <c r="E77" s="53"/>
    </row>
    <row r="78" spans="5:5" x14ac:dyDescent="0.8">
      <c r="E78" s="53"/>
    </row>
    <row r="79" spans="5:5" x14ac:dyDescent="0.8">
      <c r="E79" s="53"/>
    </row>
    <row r="80" spans="5:5" x14ac:dyDescent="0.8">
      <c r="E80" s="53"/>
    </row>
    <row r="81" spans="5:5" x14ac:dyDescent="0.8">
      <c r="E81" s="53"/>
    </row>
    <row r="82" spans="5:5" x14ac:dyDescent="0.8">
      <c r="E82" s="53"/>
    </row>
    <row r="83" spans="5:5" x14ac:dyDescent="0.8">
      <c r="E83" s="53"/>
    </row>
    <row r="84" spans="5:5" x14ac:dyDescent="0.8">
      <c r="E84" s="53"/>
    </row>
    <row r="85" spans="5:5" x14ac:dyDescent="0.8">
      <c r="E85" s="53"/>
    </row>
    <row r="86" spans="5:5" x14ac:dyDescent="0.8">
      <c r="E86" s="53"/>
    </row>
    <row r="87" spans="5:5" x14ac:dyDescent="0.8">
      <c r="E87" s="53"/>
    </row>
    <row r="88" spans="5:5" x14ac:dyDescent="0.8">
      <c r="E88" s="53"/>
    </row>
    <row r="89" spans="5:5" x14ac:dyDescent="0.8">
      <c r="E89" s="53"/>
    </row>
    <row r="90" spans="5:5" x14ac:dyDescent="0.8">
      <c r="E90" s="53"/>
    </row>
    <row r="91" spans="5:5" x14ac:dyDescent="0.8">
      <c r="E91" s="53"/>
    </row>
    <row r="92" spans="5:5" x14ac:dyDescent="0.8">
      <c r="E92" s="53"/>
    </row>
    <row r="93" spans="5:5" x14ac:dyDescent="0.8">
      <c r="E93" s="53"/>
    </row>
    <row r="94" spans="5:5" x14ac:dyDescent="0.8">
      <c r="E94" s="53"/>
    </row>
    <row r="95" spans="5:5" x14ac:dyDescent="0.8">
      <c r="E95" s="53"/>
    </row>
    <row r="96" spans="5:5" x14ac:dyDescent="0.8">
      <c r="E96" s="53"/>
    </row>
    <row r="97" spans="5:5" x14ac:dyDescent="0.8">
      <c r="E97" s="53"/>
    </row>
    <row r="98" spans="5:5" x14ac:dyDescent="0.8">
      <c r="E98" s="53"/>
    </row>
    <row r="99" spans="5:5" x14ac:dyDescent="0.8">
      <c r="E99" s="53"/>
    </row>
    <row r="100" spans="5:5" x14ac:dyDescent="0.8">
      <c r="E100" s="53"/>
    </row>
    <row r="101" spans="5:5" x14ac:dyDescent="0.8">
      <c r="E101" s="53"/>
    </row>
    <row r="102" spans="5:5" x14ac:dyDescent="0.8">
      <c r="E102" s="53"/>
    </row>
    <row r="103" spans="5:5" x14ac:dyDescent="0.8">
      <c r="E103" s="53"/>
    </row>
    <row r="104" spans="5:5" x14ac:dyDescent="0.8">
      <c r="E104" s="53"/>
    </row>
    <row r="105" spans="5:5" x14ac:dyDescent="0.8">
      <c r="E105" s="53"/>
    </row>
    <row r="106" spans="5:5" x14ac:dyDescent="0.8">
      <c r="E106" s="53"/>
    </row>
    <row r="107" spans="5:5" x14ac:dyDescent="0.8">
      <c r="E107" s="53"/>
    </row>
    <row r="108" spans="5:5" x14ac:dyDescent="0.8">
      <c r="E108" s="53"/>
    </row>
    <row r="109" spans="5:5" x14ac:dyDescent="0.8">
      <c r="E109" s="53"/>
    </row>
    <row r="110" spans="5:5" x14ac:dyDescent="0.8">
      <c r="E110" s="53"/>
    </row>
    <row r="111" spans="5:5" x14ac:dyDescent="0.8">
      <c r="E111" s="53"/>
    </row>
    <row r="112" spans="5:5" x14ac:dyDescent="0.8">
      <c r="E112" s="53"/>
    </row>
    <row r="113" spans="5:5" x14ac:dyDescent="0.8">
      <c r="E113" s="53"/>
    </row>
    <row r="114" spans="5:5" x14ac:dyDescent="0.8">
      <c r="E114" s="53"/>
    </row>
    <row r="115" spans="5:5" x14ac:dyDescent="0.8">
      <c r="E115" s="53"/>
    </row>
    <row r="116" spans="5:5" x14ac:dyDescent="0.8">
      <c r="E116" s="53"/>
    </row>
    <row r="117" spans="5:5" x14ac:dyDescent="0.8">
      <c r="E117" s="53"/>
    </row>
    <row r="118" spans="5:5" x14ac:dyDescent="0.8">
      <c r="E118" s="53"/>
    </row>
    <row r="119" spans="5:5" x14ac:dyDescent="0.8">
      <c r="E119" s="53"/>
    </row>
    <row r="120" spans="5:5" x14ac:dyDescent="0.8">
      <c r="E120" s="53"/>
    </row>
    <row r="121" spans="5:5" x14ac:dyDescent="0.8">
      <c r="E121" s="53"/>
    </row>
    <row r="122" spans="5:5" x14ac:dyDescent="0.8">
      <c r="E122" s="53"/>
    </row>
    <row r="123" spans="5:5" x14ac:dyDescent="0.8">
      <c r="E123" s="53"/>
    </row>
    <row r="124" spans="5:5" x14ac:dyDescent="0.8">
      <c r="E124" s="53"/>
    </row>
    <row r="125" spans="5:5" x14ac:dyDescent="0.8">
      <c r="E125" s="53"/>
    </row>
    <row r="126" spans="5:5" x14ac:dyDescent="0.8">
      <c r="E126" s="53"/>
    </row>
    <row r="127" spans="5:5" x14ac:dyDescent="0.8">
      <c r="E127" s="53"/>
    </row>
    <row r="128" spans="5:5" x14ac:dyDescent="0.8">
      <c r="E128" s="53"/>
    </row>
    <row r="129" spans="5:5" x14ac:dyDescent="0.8">
      <c r="E129" s="53"/>
    </row>
    <row r="130" spans="5:5" x14ac:dyDescent="0.8">
      <c r="E130" s="53"/>
    </row>
    <row r="131" spans="5:5" x14ac:dyDescent="0.8">
      <c r="E131" s="53"/>
    </row>
    <row r="132" spans="5:5" x14ac:dyDescent="0.8">
      <c r="E132" s="53"/>
    </row>
    <row r="133" spans="5:5" x14ac:dyDescent="0.8">
      <c r="E133" s="53"/>
    </row>
    <row r="134" spans="5:5" x14ac:dyDescent="0.8">
      <c r="E134" s="53"/>
    </row>
    <row r="135" spans="5:5" x14ac:dyDescent="0.8">
      <c r="E135" s="53"/>
    </row>
    <row r="136" spans="5:5" x14ac:dyDescent="0.8">
      <c r="E136" s="53"/>
    </row>
    <row r="137" spans="5:5" x14ac:dyDescent="0.8">
      <c r="E137" s="53"/>
    </row>
    <row r="138" spans="5:5" x14ac:dyDescent="0.8">
      <c r="E138" s="53"/>
    </row>
    <row r="139" spans="5:5" x14ac:dyDescent="0.8">
      <c r="E139" s="53"/>
    </row>
    <row r="140" spans="5:5" x14ac:dyDescent="0.8">
      <c r="E140" s="53"/>
    </row>
    <row r="141" spans="5:5" x14ac:dyDescent="0.8">
      <c r="E141" s="53"/>
    </row>
    <row r="142" spans="5:5" x14ac:dyDescent="0.8">
      <c r="E142" s="53"/>
    </row>
    <row r="143" spans="5:5" x14ac:dyDescent="0.8">
      <c r="E143" s="53"/>
    </row>
    <row r="144" spans="5:5" x14ac:dyDescent="0.8">
      <c r="E144" s="53"/>
    </row>
    <row r="145" spans="5:5" x14ac:dyDescent="0.8">
      <c r="E145" s="53"/>
    </row>
    <row r="146" spans="5:5" x14ac:dyDescent="0.8">
      <c r="E146" s="53"/>
    </row>
    <row r="147" spans="5:5" x14ac:dyDescent="0.8">
      <c r="E147" s="53"/>
    </row>
    <row r="148" spans="5:5" x14ac:dyDescent="0.8">
      <c r="E148" s="53"/>
    </row>
    <row r="149" spans="5:5" x14ac:dyDescent="0.8">
      <c r="E149" s="53"/>
    </row>
    <row r="150" spans="5:5" x14ac:dyDescent="0.8">
      <c r="E150" s="53"/>
    </row>
    <row r="151" spans="5:5" x14ac:dyDescent="0.8">
      <c r="E151" s="53"/>
    </row>
    <row r="152" spans="5:5" x14ac:dyDescent="0.8">
      <c r="E152" s="53"/>
    </row>
    <row r="153" spans="5:5" x14ac:dyDescent="0.8">
      <c r="E153" s="53"/>
    </row>
    <row r="154" spans="5:5" x14ac:dyDescent="0.8">
      <c r="E154" s="53"/>
    </row>
    <row r="155" spans="5:5" x14ac:dyDescent="0.8">
      <c r="E155" s="53"/>
    </row>
    <row r="156" spans="5:5" x14ac:dyDescent="0.8">
      <c r="E156" s="53"/>
    </row>
    <row r="157" spans="5:5" x14ac:dyDescent="0.8">
      <c r="E157" s="53"/>
    </row>
    <row r="158" spans="5:5" x14ac:dyDescent="0.8">
      <c r="E158" s="53"/>
    </row>
    <row r="159" spans="5:5" x14ac:dyDescent="0.8">
      <c r="E159" s="53"/>
    </row>
    <row r="160" spans="5:5" x14ac:dyDescent="0.8">
      <c r="E160" s="53"/>
    </row>
    <row r="161" spans="5:5" x14ac:dyDescent="0.8">
      <c r="E161" s="53"/>
    </row>
    <row r="162" spans="5:5" x14ac:dyDescent="0.8">
      <c r="E162" s="53"/>
    </row>
    <row r="163" spans="5:5" x14ac:dyDescent="0.8">
      <c r="E163" s="53"/>
    </row>
  </sheetData>
  <sheetProtection selectLockedCells="1" selectUnlockedCells="1"/>
  <mergeCells count="8">
    <mergeCell ref="C29:F29"/>
    <mergeCell ref="C30:F30"/>
    <mergeCell ref="A1:F1"/>
    <mergeCell ref="A3:C3"/>
    <mergeCell ref="D3:E3"/>
    <mergeCell ref="F3:F4"/>
    <mergeCell ref="A23:F23"/>
    <mergeCell ref="A24:F24"/>
  </mergeCells>
  <printOptions horizontalCentered="1"/>
  <pageMargins left="0.3298611111111111" right="0.24027777777777778" top="0.99027777777777781" bottom="0.6694444444444444" header="0.51180555555555551" footer="0.51180555555555551"/>
  <pageSetup paperSize="9" firstPageNumber="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E0978-67EA-43EF-8B59-9F48E9C704A5}">
  <sheetPr codeName="Sheet5">
    <pageSetUpPr fitToPage="1"/>
  </sheetPr>
  <dimension ref="A1:Z31"/>
  <sheetViews>
    <sheetView view="pageBreakPreview" zoomScale="90" zoomScaleNormal="100" workbookViewId="0">
      <selection activeCell="A14" sqref="A14:XFD20"/>
    </sheetView>
  </sheetViews>
  <sheetFormatPr defaultColWidth="8.77734375" defaultRowHeight="21" x14ac:dyDescent="0.7"/>
  <cols>
    <col min="1" max="1" width="18.109375" style="26" customWidth="1"/>
    <col min="2" max="2" width="9.77734375" style="26" customWidth="1"/>
    <col min="3" max="3" width="5.44140625" style="26" customWidth="1"/>
    <col min="4" max="4" width="6.77734375" style="26" customWidth="1"/>
    <col min="5" max="5" width="12.77734375" style="26" customWidth="1"/>
    <col min="6" max="6" width="5.109375" style="26" customWidth="1"/>
    <col min="7" max="7" width="7.109375" style="26" customWidth="1"/>
    <col min="8" max="8" width="61.109375" style="26" customWidth="1"/>
    <col min="9" max="9" width="14.44140625" style="26" customWidth="1"/>
    <col min="10" max="10" width="13" style="26" customWidth="1"/>
    <col min="11" max="11" width="5.33203125" style="26" customWidth="1"/>
    <col min="12" max="12" width="19.6640625" style="26" customWidth="1"/>
    <col min="13" max="16384" width="8.77734375" style="26"/>
  </cols>
  <sheetData>
    <row r="1" spans="1:26" ht="24" x14ac:dyDescent="0.8">
      <c r="A1" s="198" t="s">
        <v>25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S1" s="26" t="s">
        <v>96</v>
      </c>
    </row>
    <row r="2" spans="1:26" ht="24" x14ac:dyDescent="0.8">
      <c r="A2" s="204" t="s">
        <v>26</v>
      </c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4"/>
      <c r="S2" s="26" t="s">
        <v>97</v>
      </c>
    </row>
    <row r="3" spans="1:26" ht="13.5" customHeight="1" x14ac:dyDescent="0.8">
      <c r="A3" s="204"/>
      <c r="B3" s="204"/>
      <c r="C3" s="69"/>
      <c r="D3" s="70"/>
      <c r="E3" s="70"/>
      <c r="F3" s="70"/>
      <c r="G3" s="70"/>
      <c r="H3" s="70"/>
      <c r="I3" s="70"/>
      <c r="J3" s="70"/>
      <c r="K3" s="70"/>
      <c r="L3" s="70"/>
      <c r="S3" s="26" t="s">
        <v>31</v>
      </c>
    </row>
    <row r="4" spans="1:26" ht="44.9" customHeight="1" x14ac:dyDescent="0.7">
      <c r="A4" s="71" t="s">
        <v>27</v>
      </c>
      <c r="B4" s="205" t="s">
        <v>28</v>
      </c>
      <c r="C4" s="205"/>
      <c r="D4" s="205"/>
      <c r="E4" s="205"/>
      <c r="F4" s="205"/>
      <c r="G4" s="205"/>
      <c r="H4" s="205"/>
      <c r="I4" s="71" t="s">
        <v>29</v>
      </c>
      <c r="J4" s="205" t="s">
        <v>30</v>
      </c>
      <c r="K4" s="205"/>
      <c r="L4" s="205"/>
    </row>
    <row r="5" spans="1:26" ht="46.5" customHeight="1" x14ac:dyDescent="0.7">
      <c r="A5" s="72">
        <v>244515</v>
      </c>
      <c r="B5" s="194" t="s">
        <v>178</v>
      </c>
      <c r="C5" s="195"/>
      <c r="D5" s="195"/>
      <c r="E5" s="195"/>
      <c r="F5" s="195"/>
      <c r="G5" s="195"/>
      <c r="H5" s="196"/>
      <c r="I5" s="148">
        <f>214*5</f>
        <v>1070</v>
      </c>
      <c r="J5" s="197" t="s">
        <v>115</v>
      </c>
      <c r="K5" s="197"/>
      <c r="L5" s="197"/>
    </row>
    <row r="6" spans="1:26" ht="46.5" customHeight="1" x14ac:dyDescent="0.7">
      <c r="A6" s="72">
        <v>244515</v>
      </c>
      <c r="B6" s="194" t="s">
        <v>179</v>
      </c>
      <c r="C6" s="195"/>
      <c r="D6" s="195"/>
      <c r="E6" s="195"/>
      <c r="F6" s="195"/>
      <c r="G6" s="195"/>
      <c r="H6" s="196"/>
      <c r="I6" s="148">
        <f>6*5</f>
        <v>30</v>
      </c>
      <c r="J6" s="197" t="s">
        <v>115</v>
      </c>
      <c r="K6" s="197"/>
      <c r="L6" s="197"/>
    </row>
    <row r="7" spans="1:26" ht="46.5" customHeight="1" x14ac:dyDescent="0.7">
      <c r="A7" s="72">
        <v>244516</v>
      </c>
      <c r="B7" s="194" t="s">
        <v>179</v>
      </c>
      <c r="C7" s="195"/>
      <c r="D7" s="195"/>
      <c r="E7" s="195"/>
      <c r="F7" s="195"/>
      <c r="G7" s="195"/>
      <c r="H7" s="196"/>
      <c r="I7" s="148">
        <f t="shared" ref="I7" si="0">6*5</f>
        <v>30</v>
      </c>
      <c r="J7" s="197" t="s">
        <v>115</v>
      </c>
      <c r="K7" s="197"/>
      <c r="L7" s="197"/>
    </row>
    <row r="8" spans="1:26" ht="46.5" customHeight="1" x14ac:dyDescent="0.7">
      <c r="A8" s="72">
        <v>244516</v>
      </c>
      <c r="B8" s="194" t="s">
        <v>180</v>
      </c>
      <c r="C8" s="195"/>
      <c r="D8" s="195"/>
      <c r="E8" s="195"/>
      <c r="F8" s="195"/>
      <c r="G8" s="195"/>
      <c r="H8" s="196"/>
      <c r="I8" s="148">
        <f>220*5</f>
        <v>1100</v>
      </c>
      <c r="J8" s="197" t="s">
        <v>115</v>
      </c>
      <c r="K8" s="197"/>
      <c r="L8" s="197"/>
    </row>
    <row r="9" spans="1:26" ht="50.25" customHeight="1" x14ac:dyDescent="0.7">
      <c r="A9" s="72"/>
      <c r="B9" s="194" t="s">
        <v>181</v>
      </c>
      <c r="C9" s="195"/>
      <c r="D9" s="195"/>
      <c r="E9" s="195"/>
      <c r="F9" s="195"/>
      <c r="G9" s="195"/>
      <c r="H9" s="196"/>
      <c r="I9" s="148"/>
      <c r="J9" s="197"/>
      <c r="K9" s="197"/>
      <c r="L9" s="197"/>
      <c r="Z9" s="26">
        <v>220</v>
      </c>
    </row>
    <row r="10" spans="1:26" ht="50.25" customHeight="1" x14ac:dyDescent="0.7">
      <c r="A10" s="72"/>
      <c r="B10" s="194" t="s">
        <v>92</v>
      </c>
      <c r="C10" s="195"/>
      <c r="D10" s="195"/>
      <c r="E10" s="195"/>
      <c r="F10" s="195"/>
      <c r="G10" s="195"/>
      <c r="H10" s="196"/>
      <c r="I10" s="73"/>
      <c r="J10" s="203"/>
      <c r="K10" s="203"/>
      <c r="L10" s="203"/>
    </row>
    <row r="11" spans="1:26" ht="24" customHeight="1" x14ac:dyDescent="0.7">
      <c r="A11" s="72"/>
      <c r="B11" s="194" t="str">
        <f>"รวมระยะทางทั้งหมด "&amp;SUM(I5:I10)/5&amp;" กิโลเมตร"</f>
        <v>รวมระยะทางทั้งหมด 446 กิโลเมตร</v>
      </c>
      <c r="C11" s="195"/>
      <c r="D11" s="195"/>
      <c r="E11" s="195"/>
      <c r="F11" s="195"/>
      <c r="G11" s="195"/>
      <c r="H11" s="196"/>
      <c r="I11" s="148">
        <f>SUM(I5:I10)</f>
        <v>2230</v>
      </c>
      <c r="J11" s="191"/>
      <c r="K11" s="192"/>
      <c r="L11" s="193"/>
    </row>
    <row r="12" spans="1:26" ht="23.15" customHeight="1" x14ac:dyDescent="0.8">
      <c r="A12" s="74"/>
      <c r="B12" s="199" t="s">
        <v>32</v>
      </c>
      <c r="C12" s="199"/>
      <c r="D12" s="199"/>
      <c r="E12" s="199"/>
      <c r="F12" s="199"/>
      <c r="G12" s="199"/>
      <c r="H12" s="199"/>
      <c r="I12" s="148">
        <f>I11*0</f>
        <v>0</v>
      </c>
      <c r="J12" s="200"/>
      <c r="K12" s="200"/>
      <c r="L12" s="200"/>
      <c r="Z12" s="26">
        <v>200</v>
      </c>
    </row>
    <row r="13" spans="1:26" ht="23.15" customHeight="1" x14ac:dyDescent="0.8">
      <c r="A13" s="70"/>
      <c r="B13" s="201" t="s">
        <v>33</v>
      </c>
      <c r="C13" s="201"/>
      <c r="D13" s="201"/>
      <c r="E13" s="201"/>
      <c r="F13" s="201"/>
      <c r="G13" s="201"/>
      <c r="H13" s="201"/>
      <c r="I13" s="202" t="str">
        <f>BAHTTEXT(I12)</f>
        <v>ศูนย์บาทถ้วน</v>
      </c>
      <c r="J13" s="202"/>
      <c r="K13" s="202"/>
      <c r="L13" s="202"/>
    </row>
    <row r="14" spans="1:26" ht="24" x14ac:dyDescent="0.8">
      <c r="A14" s="70"/>
      <c r="B14" s="70" t="s">
        <v>34</v>
      </c>
      <c r="C14" s="70" t="s">
        <v>5</v>
      </c>
      <c r="D14" s="70"/>
      <c r="E14" s="70"/>
      <c r="F14" s="70" t="s">
        <v>35</v>
      </c>
      <c r="G14" s="70"/>
      <c r="H14" s="70" t="s">
        <v>3</v>
      </c>
      <c r="I14" s="70"/>
      <c r="J14" s="70"/>
      <c r="K14" s="70"/>
      <c r="L14" s="70"/>
      <c r="Z14" s="26">
        <v>700</v>
      </c>
    </row>
    <row r="15" spans="1:26" ht="24" x14ac:dyDescent="0.8">
      <c r="A15" s="75" t="s">
        <v>36</v>
      </c>
      <c r="B15" s="68"/>
      <c r="C15" s="68"/>
      <c r="D15" s="68"/>
      <c r="E15" s="70"/>
      <c r="F15" s="70"/>
      <c r="G15" s="70"/>
      <c r="H15" s="70"/>
      <c r="I15" s="70"/>
      <c r="J15" s="70"/>
      <c r="K15" s="70"/>
      <c r="L15" s="70"/>
    </row>
    <row r="16" spans="1:26" ht="24" x14ac:dyDescent="0.8">
      <c r="A16" s="75" t="s">
        <v>37</v>
      </c>
      <c r="B16" s="68"/>
      <c r="C16" s="76">
        <v>244515</v>
      </c>
      <c r="D16" s="75" t="s">
        <v>38</v>
      </c>
      <c r="E16" s="77">
        <v>244515</v>
      </c>
      <c r="F16" s="70" t="s">
        <v>39</v>
      </c>
      <c r="G16" s="78">
        <v>244515</v>
      </c>
      <c r="H16" s="70" t="s">
        <v>40</v>
      </c>
      <c r="I16" s="76">
        <v>244518</v>
      </c>
      <c r="J16" s="77">
        <v>244518</v>
      </c>
      <c r="K16" s="70" t="s">
        <v>41</v>
      </c>
      <c r="L16" s="79">
        <v>244518</v>
      </c>
    </row>
    <row r="17" spans="1:19" ht="24" x14ac:dyDescent="0.8">
      <c r="A17" s="68"/>
      <c r="B17" s="68"/>
      <c r="C17" s="68"/>
      <c r="D17" s="68"/>
      <c r="E17" s="70"/>
      <c r="F17" s="70"/>
      <c r="G17" s="70"/>
      <c r="H17" s="70"/>
      <c r="I17" s="70"/>
      <c r="J17" s="70"/>
      <c r="K17" s="70"/>
      <c r="L17" s="70"/>
    </row>
    <row r="18" spans="1:19" ht="24" x14ac:dyDescent="0.8">
      <c r="A18" s="68"/>
      <c r="B18" s="70"/>
      <c r="C18" s="69"/>
      <c r="D18" s="68"/>
      <c r="E18" s="70"/>
      <c r="F18" s="70"/>
      <c r="G18" s="70"/>
      <c r="H18" s="70"/>
      <c r="I18" s="80" t="s">
        <v>42</v>
      </c>
      <c r="J18" s="70"/>
      <c r="K18" s="70"/>
      <c r="L18" s="70"/>
    </row>
    <row r="19" spans="1:19" ht="24" x14ac:dyDescent="0.8">
      <c r="A19" s="70"/>
      <c r="B19" s="70"/>
      <c r="C19" s="69"/>
      <c r="D19" s="70"/>
      <c r="E19" s="70"/>
      <c r="F19" s="81"/>
      <c r="G19" s="70"/>
      <c r="H19" s="70"/>
      <c r="I19" s="70"/>
      <c r="J19" s="198" t="s">
        <v>177</v>
      </c>
      <c r="K19" s="198"/>
      <c r="L19" s="198"/>
    </row>
    <row r="20" spans="1:19" ht="24" x14ac:dyDescent="0.8">
      <c r="A20" s="70"/>
      <c r="B20" s="70"/>
      <c r="C20" s="69"/>
      <c r="D20" s="70"/>
      <c r="E20" s="70"/>
      <c r="F20" s="81"/>
      <c r="G20" s="70"/>
      <c r="H20" s="70"/>
      <c r="I20" s="80" t="s">
        <v>0</v>
      </c>
      <c r="J20" s="198" t="s">
        <v>3</v>
      </c>
      <c r="K20" s="198"/>
      <c r="L20" s="198"/>
    </row>
    <row r="21" spans="1:19" ht="24" x14ac:dyDescent="0.8">
      <c r="A21" s="70"/>
      <c r="B21" s="70"/>
      <c r="C21" s="68"/>
      <c r="D21" s="70"/>
      <c r="E21" s="70"/>
      <c r="F21" s="70"/>
      <c r="G21" s="70"/>
      <c r="H21" s="70"/>
      <c r="I21" s="70"/>
      <c r="J21" s="70"/>
      <c r="K21" s="70"/>
      <c r="L21" s="70"/>
    </row>
    <row r="22" spans="1:19" x14ac:dyDescent="0.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9" x14ac:dyDescent="0.7">
      <c r="S23" s="26" t="s">
        <v>100</v>
      </c>
    </row>
    <row r="24" spans="1:19" x14ac:dyDescent="0.7">
      <c r="S24" s="26" t="s">
        <v>101</v>
      </c>
    </row>
    <row r="25" spans="1:19" x14ac:dyDescent="0.7">
      <c r="S25" s="26" t="s">
        <v>102</v>
      </c>
    </row>
    <row r="26" spans="1:19" x14ac:dyDescent="0.7">
      <c r="S26" s="26" t="s">
        <v>103</v>
      </c>
    </row>
    <row r="27" spans="1:19" x14ac:dyDescent="0.7">
      <c r="S27" s="26" t="s">
        <v>104</v>
      </c>
    </row>
    <row r="28" spans="1:19" x14ac:dyDescent="0.7">
      <c r="S28" s="26" t="s">
        <v>105</v>
      </c>
    </row>
    <row r="29" spans="1:19" x14ac:dyDescent="0.7">
      <c r="B29" s="26" t="s">
        <v>112</v>
      </c>
      <c r="S29" s="26" t="s">
        <v>106</v>
      </c>
    </row>
    <row r="30" spans="1:19" x14ac:dyDescent="0.7">
      <c r="B30" s="26" t="s">
        <v>110</v>
      </c>
      <c r="S30" s="26" t="s">
        <v>108</v>
      </c>
    </row>
    <row r="31" spans="1:19" x14ac:dyDescent="0.7">
      <c r="B31" s="26" t="s">
        <v>111</v>
      </c>
      <c r="S31" s="26" t="s">
        <v>107</v>
      </c>
    </row>
  </sheetData>
  <sheetProtection selectLockedCells="1" selectUnlockedCells="1"/>
  <mergeCells count="25">
    <mergeCell ref="A1:L1"/>
    <mergeCell ref="A2:L2"/>
    <mergeCell ref="A3:B3"/>
    <mergeCell ref="B4:H4"/>
    <mergeCell ref="J4:L4"/>
    <mergeCell ref="B6:H6"/>
    <mergeCell ref="B7:H7"/>
    <mergeCell ref="B8:H8"/>
    <mergeCell ref="B5:H5"/>
    <mergeCell ref="J5:L5"/>
    <mergeCell ref="J6:L6"/>
    <mergeCell ref="J7:L7"/>
    <mergeCell ref="J8:L8"/>
    <mergeCell ref="J11:L11"/>
    <mergeCell ref="B11:H11"/>
    <mergeCell ref="J9:L9"/>
    <mergeCell ref="J20:L20"/>
    <mergeCell ref="B12:H12"/>
    <mergeCell ref="J12:L12"/>
    <mergeCell ref="B13:H13"/>
    <mergeCell ref="I13:L13"/>
    <mergeCell ref="J19:L19"/>
    <mergeCell ref="B10:H10"/>
    <mergeCell ref="J10:L10"/>
    <mergeCell ref="B9:H9"/>
  </mergeCells>
  <printOptions horizontalCentered="1"/>
  <pageMargins left="0.27559055118110237" right="0.19685039370078741" top="0.51181102362204722" bottom="0.98425196850393704" header="0.51181102362204722" footer="0.51181102362204722"/>
  <pageSetup paperSize="9" scale="67" firstPageNumber="0" orientation="portrait" r:id="rId1"/>
  <headerFooter alignWithMargins="0"/>
  <rowBreaks count="1" manualBreakCount="1">
    <brk id="20" max="11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531CD-6850-41D6-A1B2-C60B67777CFD}">
  <sheetPr codeName="Sheet6"/>
  <dimension ref="A1:M19"/>
  <sheetViews>
    <sheetView view="pageBreakPreview" zoomScaleNormal="100" zoomScaleSheetLayoutView="100" workbookViewId="0">
      <selection activeCell="O16" sqref="O16"/>
    </sheetView>
  </sheetViews>
  <sheetFormatPr defaultColWidth="9.33203125" defaultRowHeight="24" x14ac:dyDescent="0.8"/>
  <cols>
    <col min="1" max="1" width="7.77734375" style="1" customWidth="1"/>
    <col min="2" max="4" width="9.33203125" style="1"/>
    <col min="5" max="5" width="17" style="1" customWidth="1"/>
    <col min="6" max="6" width="25.77734375" style="1" customWidth="1"/>
    <col min="7" max="7" width="10.44140625" style="1" customWidth="1"/>
    <col min="8" max="8" width="12.77734375" style="1" customWidth="1"/>
    <col min="9" max="9" width="12.44140625" style="1" customWidth="1"/>
    <col min="10" max="10" width="14" style="1" customWidth="1"/>
    <col min="11" max="11" width="12.109375" style="1" customWidth="1"/>
    <col min="12" max="12" width="14" style="1" customWidth="1"/>
    <col min="13" max="13" width="16" style="1" customWidth="1"/>
    <col min="14" max="16384" width="9.33203125" style="1"/>
  </cols>
  <sheetData>
    <row r="1" spans="1:13" x14ac:dyDescent="0.8">
      <c r="A1" s="214" t="s">
        <v>26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</row>
    <row r="2" spans="1:13" x14ac:dyDescent="0.8">
      <c r="A2" s="214" t="s">
        <v>117</v>
      </c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</row>
    <row r="3" spans="1:13" ht="15.75" customHeight="1" x14ac:dyDescent="0.8"/>
    <row r="4" spans="1:13" ht="21.75" customHeight="1" x14ac:dyDescent="0.8">
      <c r="H4" s="2"/>
      <c r="I4" s="2"/>
      <c r="J4" s="2"/>
      <c r="M4" s="2"/>
    </row>
    <row r="5" spans="1:13" x14ac:dyDescent="0.8">
      <c r="A5" s="3" t="s">
        <v>118</v>
      </c>
      <c r="B5" s="4" t="s">
        <v>5</v>
      </c>
      <c r="C5" s="4"/>
      <c r="D5" s="4"/>
      <c r="E5" s="4" t="s">
        <v>119</v>
      </c>
      <c r="F5" s="4"/>
      <c r="G5" s="4" t="s">
        <v>120</v>
      </c>
      <c r="H5" s="209">
        <v>46242</v>
      </c>
      <c r="I5" s="210"/>
      <c r="J5" s="3" t="s">
        <v>121</v>
      </c>
      <c r="K5" s="4"/>
      <c r="L5" s="4"/>
      <c r="M5" s="5"/>
    </row>
    <row r="6" spans="1:13" x14ac:dyDescent="0.8">
      <c r="A6" s="6" t="s">
        <v>122</v>
      </c>
      <c r="B6" s="2"/>
      <c r="C6" s="2" t="s">
        <v>123</v>
      </c>
      <c r="D6" s="2"/>
      <c r="G6" s="2" t="s">
        <v>124</v>
      </c>
      <c r="H6" s="2" t="s">
        <v>141</v>
      </c>
      <c r="I6" s="2"/>
      <c r="J6" s="6" t="s">
        <v>125</v>
      </c>
      <c r="K6" s="156" t="s">
        <v>176</v>
      </c>
      <c r="L6" s="2" t="s">
        <v>175</v>
      </c>
      <c r="M6" s="7"/>
    </row>
    <row r="7" spans="1:13" x14ac:dyDescent="0.8">
      <c r="A7" s="215" t="s">
        <v>126</v>
      </c>
      <c r="B7" s="217" t="s">
        <v>127</v>
      </c>
      <c r="C7" s="218"/>
      <c r="D7" s="218"/>
      <c r="E7" s="219"/>
      <c r="F7" s="223" t="s">
        <v>128</v>
      </c>
      <c r="G7" s="9" t="s">
        <v>129</v>
      </c>
      <c r="H7" s="225" t="s">
        <v>130</v>
      </c>
      <c r="I7" s="226"/>
      <c r="J7" s="9" t="s">
        <v>131</v>
      </c>
      <c r="K7" s="8" t="s">
        <v>132</v>
      </c>
      <c r="L7" s="9" t="s">
        <v>45</v>
      </c>
      <c r="M7" s="9" t="s">
        <v>133</v>
      </c>
    </row>
    <row r="8" spans="1:13" x14ac:dyDescent="0.8">
      <c r="A8" s="216"/>
      <c r="B8" s="220"/>
      <c r="C8" s="221"/>
      <c r="D8" s="221"/>
      <c r="E8" s="222"/>
      <c r="F8" s="224"/>
      <c r="G8" s="11" t="s">
        <v>134</v>
      </c>
      <c r="H8" s="227" t="s">
        <v>135</v>
      </c>
      <c r="I8" s="228"/>
      <c r="J8" s="11" t="s">
        <v>136</v>
      </c>
      <c r="K8" s="10" t="s">
        <v>137</v>
      </c>
      <c r="L8" s="11" t="s">
        <v>138</v>
      </c>
      <c r="M8" s="11" t="s">
        <v>139</v>
      </c>
    </row>
    <row r="9" spans="1:13" x14ac:dyDescent="0.8">
      <c r="A9" s="12">
        <v>1</v>
      </c>
      <c r="B9" s="206" t="s">
        <v>182</v>
      </c>
      <c r="C9" s="206"/>
      <c r="D9" s="206"/>
      <c r="E9" s="206"/>
      <c r="F9" s="14" t="s">
        <v>5</v>
      </c>
      <c r="G9" s="12">
        <v>100687</v>
      </c>
      <c r="H9" s="207" t="s">
        <v>74</v>
      </c>
      <c r="I9" s="207"/>
      <c r="J9" s="15">
        <f>ใบสำคัญจ่ายเงินสดย่อย!T17</f>
        <v>4220</v>
      </c>
      <c r="K9" s="16"/>
      <c r="L9" s="15">
        <f>J9</f>
        <v>4220</v>
      </c>
      <c r="M9" s="17"/>
    </row>
    <row r="10" spans="1:13" s="154" customFormat="1" x14ac:dyDescent="0.8">
      <c r="A10" s="149"/>
      <c r="B10" s="212" t="s">
        <v>183</v>
      </c>
      <c r="C10" s="212"/>
      <c r="D10" s="212"/>
      <c r="E10" s="212"/>
      <c r="F10" s="150"/>
      <c r="G10" s="149">
        <v>100687</v>
      </c>
      <c r="H10" s="213" t="s">
        <v>173</v>
      </c>
      <c r="I10" s="213"/>
      <c r="J10" s="151"/>
      <c r="K10" s="152"/>
      <c r="L10" s="151"/>
      <c r="M10" s="153"/>
    </row>
    <row r="11" spans="1:13" s="154" customFormat="1" x14ac:dyDescent="0.8">
      <c r="A11" s="149"/>
      <c r="B11" s="212" t="s">
        <v>184</v>
      </c>
      <c r="C11" s="212"/>
      <c r="D11" s="212"/>
      <c r="E11" s="212"/>
      <c r="F11" s="150"/>
      <c r="G11" s="149">
        <v>100687</v>
      </c>
      <c r="H11" s="213" t="s">
        <v>174</v>
      </c>
      <c r="I11" s="213"/>
      <c r="J11" s="151"/>
      <c r="K11" s="155"/>
      <c r="L11" s="151"/>
      <c r="M11" s="153"/>
    </row>
    <row r="12" spans="1:13" x14ac:dyDescent="0.8">
      <c r="A12" s="12"/>
      <c r="B12" s="206"/>
      <c r="C12" s="206"/>
      <c r="D12" s="206"/>
      <c r="E12" s="206"/>
      <c r="F12" s="14"/>
      <c r="G12" s="12"/>
      <c r="H12" s="211"/>
      <c r="I12" s="211"/>
      <c r="J12" s="15"/>
      <c r="K12" s="18"/>
      <c r="L12" s="15"/>
      <c r="M12" s="17"/>
    </row>
    <row r="13" spans="1:13" x14ac:dyDescent="0.8">
      <c r="A13" s="12"/>
      <c r="B13" s="206"/>
      <c r="C13" s="206"/>
      <c r="D13" s="206"/>
      <c r="E13" s="206"/>
      <c r="F13" s="14"/>
      <c r="G13" s="12"/>
      <c r="H13" s="207"/>
      <c r="I13" s="207"/>
      <c r="J13" s="15"/>
      <c r="K13" s="18"/>
      <c r="L13" s="15"/>
      <c r="M13" s="17"/>
    </row>
    <row r="14" spans="1:13" x14ac:dyDescent="0.8">
      <c r="A14" s="12"/>
      <c r="B14" s="206"/>
      <c r="C14" s="206"/>
      <c r="D14" s="206"/>
      <c r="E14" s="206"/>
      <c r="F14" s="14"/>
      <c r="G14" s="12"/>
      <c r="H14" s="207"/>
      <c r="I14" s="207"/>
      <c r="J14" s="15"/>
      <c r="K14" s="16"/>
      <c r="L14" s="15"/>
      <c r="M14" s="17"/>
    </row>
    <row r="15" spans="1:13" x14ac:dyDescent="0.8">
      <c r="A15" s="12"/>
      <c r="B15" s="206"/>
      <c r="C15" s="206"/>
      <c r="D15" s="206"/>
      <c r="E15" s="206"/>
      <c r="F15" s="14"/>
      <c r="G15" s="12"/>
      <c r="H15" s="207"/>
      <c r="I15" s="207"/>
      <c r="J15" s="15"/>
      <c r="K15" s="18"/>
      <c r="L15" s="15"/>
      <c r="M15" s="17"/>
    </row>
    <row r="16" spans="1:13" x14ac:dyDescent="0.8">
      <c r="A16" s="12"/>
      <c r="B16" s="206"/>
      <c r="C16" s="206"/>
      <c r="D16" s="206"/>
      <c r="E16" s="206"/>
      <c r="F16" s="14"/>
      <c r="G16" s="12"/>
      <c r="H16" s="207"/>
      <c r="I16" s="207"/>
      <c r="J16" s="15"/>
      <c r="K16" s="18"/>
      <c r="L16" s="15"/>
      <c r="M16" s="17"/>
    </row>
    <row r="17" spans="1:13" x14ac:dyDescent="0.8">
      <c r="A17" s="12"/>
      <c r="B17" s="206"/>
      <c r="C17" s="206"/>
      <c r="D17" s="206"/>
      <c r="E17" s="206"/>
      <c r="F17" s="14"/>
      <c r="G17" s="12"/>
      <c r="H17" s="207"/>
      <c r="I17" s="207"/>
      <c r="J17" s="15"/>
      <c r="K17" s="18"/>
      <c r="L17" s="15"/>
      <c r="M17" s="17"/>
    </row>
    <row r="18" spans="1:13" x14ac:dyDescent="0.8">
      <c r="A18" s="13"/>
      <c r="B18" s="206"/>
      <c r="C18" s="206"/>
      <c r="D18" s="206"/>
      <c r="E18" s="206"/>
      <c r="F18" s="14"/>
      <c r="G18" s="12"/>
      <c r="H18" s="207"/>
      <c r="I18" s="207"/>
      <c r="J18" s="15"/>
      <c r="K18" s="18"/>
      <c r="L18" s="15"/>
      <c r="M18" s="17"/>
    </row>
    <row r="19" spans="1:13" x14ac:dyDescent="0.8">
      <c r="A19" s="13" t="s">
        <v>140</v>
      </c>
      <c r="B19" s="19"/>
      <c r="C19" s="20"/>
      <c r="D19" s="20"/>
      <c r="E19" s="20"/>
      <c r="F19" s="21"/>
      <c r="G19" s="22"/>
      <c r="H19" s="208"/>
      <c r="I19" s="208"/>
      <c r="J19" s="23"/>
      <c r="K19" s="24"/>
      <c r="L19" s="23"/>
      <c r="M19" s="25"/>
    </row>
  </sheetData>
  <mergeCells count="29">
    <mergeCell ref="A1:L1"/>
    <mergeCell ref="A2:L2"/>
    <mergeCell ref="A7:A8"/>
    <mergeCell ref="B7:E8"/>
    <mergeCell ref="F7:F8"/>
    <mergeCell ref="H7:I7"/>
    <mergeCell ref="H8:I8"/>
    <mergeCell ref="B9:E9"/>
    <mergeCell ref="H9:I9"/>
    <mergeCell ref="B10:E10"/>
    <mergeCell ref="H10:I10"/>
    <mergeCell ref="B11:E11"/>
    <mergeCell ref="H11:I11"/>
    <mergeCell ref="B18:E18"/>
    <mergeCell ref="H18:I18"/>
    <mergeCell ref="H19:I19"/>
    <mergeCell ref="H5:I5"/>
    <mergeCell ref="B15:E15"/>
    <mergeCell ref="H15:I15"/>
    <mergeCell ref="B16:E16"/>
    <mergeCell ref="H16:I16"/>
    <mergeCell ref="B17:E17"/>
    <mergeCell ref="H17:I17"/>
    <mergeCell ref="B12:E12"/>
    <mergeCell ref="H12:I12"/>
    <mergeCell ref="B13:E13"/>
    <mergeCell ref="H13:I13"/>
    <mergeCell ref="B14:E14"/>
    <mergeCell ref="H14:I14"/>
  </mergeCells>
  <printOptions horizontalCentered="1"/>
  <pageMargins left="0.35433070866141736" right="0.31496062992125984" top="0.19685039370078741" bottom="0.19685039370078741" header="0.23622047244094491" footer="0.19685039370078741"/>
  <pageSetup paperSize="9" scale="99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7</vt:i4>
      </vt:variant>
    </vt:vector>
  </HeadingPairs>
  <TitlesOfParts>
    <vt:vector size="12" baseType="lpstr">
      <vt:lpstr>ใบสำคัญจ่ายเงินสดย่อย</vt:lpstr>
      <vt:lpstr>รายงาน</vt:lpstr>
      <vt:lpstr>คิดเงิน</vt:lpstr>
      <vt:lpstr>แบบ บก111</vt:lpstr>
      <vt:lpstr>แบบฟอร์ม1</vt:lpstr>
      <vt:lpstr>คิดเงิน!Print_Area</vt:lpstr>
      <vt:lpstr>'แบบ บก111'!Print_Area</vt:lpstr>
      <vt:lpstr>แบบฟอร์ม1!Print_Area</vt:lpstr>
      <vt:lpstr>ใบสำคัญจ่ายเงินสดย่อย!Print_Area</vt:lpstr>
      <vt:lpstr>รายงาน!Print_Area</vt:lpstr>
      <vt:lpstr>'แบบ บก111'!Print_Titles</vt:lpstr>
      <vt:lpstr>รายงาน!Print_Titles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เอนก ระสิตานนท์</cp:lastModifiedBy>
  <cp:lastPrinted>2026-03-27T08:05:19Z</cp:lastPrinted>
  <dcterms:created xsi:type="dcterms:W3CDTF">2025-03-04T01:42:42Z</dcterms:created>
  <dcterms:modified xsi:type="dcterms:W3CDTF">2026-08-09T09:25:55Z</dcterms:modified>
</cp:coreProperties>
</file>